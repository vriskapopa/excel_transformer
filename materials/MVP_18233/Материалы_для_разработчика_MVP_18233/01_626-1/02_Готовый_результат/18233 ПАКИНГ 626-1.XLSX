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C1BF57FC-62F2-4C05-A262-C3BDC3B8F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F18" i="1"/>
  <c r="E18" i="1"/>
  <c r="D18" i="1"/>
</calcChain>
</file>

<file path=xl/sharedStrings.xml><?xml version="1.0" encoding="utf-8"?>
<sst xmlns="http://schemas.openxmlformats.org/spreadsheetml/2006/main" count="43" uniqueCount="31">
  <si>
    <t>杭 州 中 纺 进 出 口 有 限 公 司</t>
  </si>
  <si>
    <t>HANGZHOU ZHONGFANG TEXTILE IMP./EXP. CO., LTD.</t>
  </si>
  <si>
    <t/>
  </si>
  <si>
    <t>PACKING LIST</t>
  </si>
  <si>
    <t>EX-WORK HANGZHOU</t>
  </si>
  <si>
    <t>INV.NO.</t>
  </si>
  <si>
    <t>Contract No SM-LU2 dd 23/11/2018</t>
  </si>
  <si>
    <t>DATE:</t>
  </si>
  <si>
    <t>No.</t>
  </si>
  <si>
    <t>DESIGN</t>
  </si>
  <si>
    <t>G/M</t>
  </si>
  <si>
    <t>ROLLS</t>
  </si>
  <si>
    <t>TOTAL METERS</t>
  </si>
  <si>
    <t>NET WEIGHT/KG</t>
  </si>
  <si>
    <t>GROSS WEIGHT/KG</t>
  </si>
  <si>
    <t>Total M2</t>
  </si>
  <si>
    <t>TOTAL</t>
  </si>
  <si>
    <t>Seller______________</t>
  </si>
  <si>
    <t>/ Liu Zhihui /</t>
  </si>
  <si>
    <t xml:space="preserve">  (signature, stamp)</t>
  </si>
  <si>
    <t>Buyer:“SM REGIONTEKSTIL'” LLC
143421 Moscow region, city of Krasnogorsk, 21st kilometer of Baltiya highway, comp. 2, bld. 1, prem. 1     OGRN 1175024014472      TIN 5032281280      KPP 502401001</t>
  </si>
  <si>
    <t>SOFA FABRIC
Danco</t>
  </si>
  <si>
    <t>SOFA FABRIC
Noble</t>
  </si>
  <si>
    <t>SOFA FABRIC
Solo</t>
  </si>
  <si>
    <t>SOFA FABRIC
Oscar</t>
  </si>
  <si>
    <t>SOFA FABRIC
Umbra</t>
  </si>
  <si>
    <t>ZFRMB26148-626-1</t>
  </si>
  <si>
    <t>Aug.19,2026</t>
  </si>
  <si>
    <t>SOFA FABRIC
Melange</t>
  </si>
  <si>
    <t>SOFA FABRIC
Omega</t>
  </si>
  <si>
    <t>SOFA FABRIC
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</si>
</sst>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_ "/>
    <numFmt numFmtId="165" formatCode="0.000_ "/>
  </numFmts>
  <fonts count="15">
    <font>
      <sz val="11"/>
      <color theme="1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26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宋体"/>
      <charset val="13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2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rgb="FF333333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3">
    <xf numFmtId="0" fontId="0" fillId="0" borderId="0" xfId="0" applyAlignment="1"/>
    <xf numFmtId="0" fontId="7" fillId="0" borderId="0" xfId="1" applyFont="1" applyAlignment="1">
      <alignment vertical="center"/>
    </xf>
    <xf numFmtId="0" fontId="7" fillId="0" borderId="0" xfId="1" applyFont="1"/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164" fontId="8" fillId="0" borderId="2" xfId="1" applyNumberFormat="1" applyFont="1" applyBorder="1" applyAlignment="1">
      <alignment horizontal="center"/>
    </xf>
    <xf numFmtId="165" fontId="8" fillId="0" borderId="3" xfId="1" applyNumberFormat="1" applyFont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164" fontId="9" fillId="2" borderId="5" xfId="1" applyNumberFormat="1" applyFont="1" applyFill="1" applyBorder="1" applyAlignment="1">
      <alignment horizontal="center"/>
    </xf>
    <xf numFmtId="165" fontId="9" fillId="2" borderId="4" xfId="1" applyNumberFormat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2" fillId="0" borderId="1" xfId="1" applyFont="1" applyBorder="1" applyAlignment="1">
      <alignment horizontal="left"/>
    </xf>
    <xf numFmtId="0" fontId="13" fillId="0" borderId="1" xfId="1" applyFont="1" applyBorder="1" applyAlignment="1">
      <alignment horizontal="right"/>
    </xf>
    <xf numFmtId="0" fontId="10" fillId="0" borderId="0" xfId="1" applyFont="1" applyAlignment="1">
      <alignment horizontal="left" vertical="center" wrapText="1"/>
    </xf>
    <xf numFmtId="0" fontId="12" fillId="0" borderId="0" xfId="1" applyFont="1" applyAlignment="1">
      <alignment horizontal="right"/>
    </xf>
    <xf numFmtId="0" fontId="12" fillId="0" borderId="1" xfId="1" applyFont="1" applyBorder="1" applyAlignment="1">
      <alignment horizontal="right"/>
    </xf>
    <xf numFmtId="0" fontId="10" fillId="0" borderId="0" xfId="1" applyFont="1" applyAlignment="1">
      <alignment vertical="center" wrapText="1"/>
    </xf>
    <xf numFmtId="0" fontId="12" fillId="0" borderId="0" xfId="1" applyFont="1"/>
    <xf numFmtId="0" fontId="14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6" fillId="0" borderId="0" xfId="1"/>
    <xf numFmtId="0" fontId="7" fillId="0" borderId="0" xfId="1" applyFont="1" applyAlignment="1">
      <alignment horizontal="right"/>
    </xf>
    <xf numFmtId="0" fontId="1" fillId="0" borderId="0" xfId="1" applyFont="1" applyAlignment="1">
      <alignment horizontal="center"/>
    </xf>
    <xf numFmtId="0" fontId="0" fillId="0" borderId="0" xfId="0" applyAlignme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 wrapText="1"/>
    </xf>
    <xf numFmtId="0" fontId="9" fillId="2" borderId="5" xfId="1" applyFont="1" applyFill="1" applyBorder="1" applyAlignment="1">
      <alignment horizontal="center"/>
    </xf>
    <xf numFmtId="0" fontId="0" fillId="0" borderId="6" xfId="0" applyBorder="1" applyAlignment="1"/>
  </cellXfs>
  <cellStyles count="2">
    <cellStyle name="Normal" xfId="1" xr:uid="{00000000-0005-0000-0000-000000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314325</xdr:colOff>
      <xdr:row>22</xdr:row>
      <xdr:rowOff>9525</xdr:rowOff>
    </xdr:from>
    <xdr:ext cx="695325" cy="540310"/>
    <xdr:pic>
      <xdr:nvPicPr>
        <xdr:cNvPr id="2" name="Рисунок 1">
          <a:extLst>
            <a:ext uri="{FF2B5EF4-FFF2-40B4-BE49-F238E27FC236}">
              <a16:creationId xmlns:a16="http://schemas.microsoft.com/office/drawing/2014/main" id="{43D76F7D-5F29-42AB-B4EB-1E21A4E3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884" y="8828554"/>
          <a:ext cx="695325" cy="540310"/>
        </a:xfrm>
        <a:prstGeom prst="rect">
          <a:avLst/>
        </a:prstGeom>
      </xdr:spPr>
    </xdr:pic>
    <xdr:clientData/>
  </xdr:oneCellAnchor>
  <xdr:oneCellAnchor>
    <xdr:from>
      <xdr:col>4</xdr:col>
      <xdr:colOff>11206</xdr:colOff>
      <xdr:row>21</xdr:row>
      <xdr:rowOff>78441</xdr:rowOff>
    </xdr:from>
    <xdr:ext cx="2602564" cy="1249188"/>
    <xdr:pic>
      <xdr:nvPicPr>
        <xdr:cNvPr id="3" name="Рисунок 2">
          <a:extLst>
            <a:ext uri="{FF2B5EF4-FFF2-40B4-BE49-F238E27FC236}">
              <a16:creationId xmlns:a16="http://schemas.microsoft.com/office/drawing/2014/main" id="{61CF7444-2B07-4DD5-8F01-87A27D01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3088" y="10410265"/>
          <a:ext cx="2602564" cy="12491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85" zoomScaleNormal="85" workbookViewId="0">
      <selection activeCell="A19" sqref="A19:XFD31"/>
    </sheetView>
  </sheetViews>
  <sheetFormatPr defaultColWidth="9" defaultRowHeight="13.5"/>
  <cols>
    <col min="1" max="1" width="4.265625" customWidth="1"/>
    <col min="2" max="2" width="12.796875" customWidth="1"/>
    <col min="3" max="3" width="5.06640625" customWidth="1"/>
    <col min="4" max="4" width="6.796875" customWidth="1"/>
    <col min="5" max="5" width="14" customWidth="1"/>
    <col min="6" max="6" width="15.06640625" customWidth="1"/>
    <col min="7" max="7" width="17.796875" customWidth="1"/>
    <col min="8" max="8" width="18.796875" customWidth="1"/>
  </cols>
  <sheetData>
    <row r="1" spans="1:8" ht="27.75">
      <c r="A1" s="23" t="s">
        <v>0</v>
      </c>
      <c r="B1" s="24"/>
      <c r="C1" s="24"/>
      <c r="D1" s="24"/>
      <c r="E1" s="24"/>
      <c r="F1" s="24"/>
      <c r="G1" s="24"/>
      <c r="H1" s="24"/>
    </row>
    <row r="2" spans="1:8" ht="20.25">
      <c r="A2" s="25" t="s">
        <v>1</v>
      </c>
      <c r="B2" s="24"/>
      <c r="C2" s="24"/>
      <c r="D2" s="24"/>
      <c r="E2" s="24"/>
      <c r="F2" s="24"/>
      <c r="G2" s="24"/>
      <c r="H2" s="24"/>
    </row>
    <row r="3" spans="1:8" ht="13.05" customHeight="1">
      <c r="A3" s="26" t="s">
        <v>2</v>
      </c>
      <c r="B3" s="24"/>
      <c r="C3" s="24"/>
      <c r="D3" s="24"/>
      <c r="E3" s="24"/>
      <c r="F3" s="24"/>
      <c r="G3" s="24"/>
      <c r="H3" s="24"/>
    </row>
    <row r="4" spans="1:8" ht="30" customHeight="1">
      <c r="A4" s="27" t="s">
        <v>3</v>
      </c>
      <c r="B4" s="24"/>
      <c r="C4" s="24"/>
      <c r="D4" s="24"/>
      <c r="E4" s="24"/>
      <c r="F4" s="24"/>
      <c r="G4" s="24"/>
      <c r="H4" s="24"/>
    </row>
    <row r="5" spans="1:8" ht="50.2" customHeight="1">
      <c r="A5" s="28" t="s">
        <v>20</v>
      </c>
      <c r="B5" s="24"/>
      <c r="C5" s="24"/>
      <c r="D5" s="24"/>
      <c r="E5" s="24"/>
      <c r="F5" s="24"/>
      <c r="G5" s="24"/>
      <c r="H5" s="24"/>
    </row>
    <row r="6" spans="1:8" ht="19.05" customHeight="1">
      <c r="A6" s="29" t="s">
        <v>4</v>
      </c>
      <c r="B6" s="24"/>
      <c r="C6" s="24"/>
      <c r="D6" s="24"/>
      <c r="E6" s="24"/>
      <c r="F6" s="10" t="s">
        <v>2</v>
      </c>
      <c r="G6" s="11" t="s">
        <v>5</v>
      </c>
      <c r="H6" s="12" t="s">
        <v>26</v>
      </c>
    </row>
    <row r="7" spans="1:8" ht="19.05" customHeight="1">
      <c r="A7" s="30" t="s">
        <v>6</v>
      </c>
      <c r="B7" s="24"/>
      <c r="C7" s="24"/>
      <c r="D7" s="24"/>
      <c r="E7" s="24"/>
      <c r="F7" s="14" t="s">
        <v>2</v>
      </c>
      <c r="G7" s="11" t="s">
        <v>7</v>
      </c>
      <c r="H7" s="15" t="s">
        <v>27</v>
      </c>
    </row>
    <row r="8" spans="1:8" ht="8.1999999999999993" customHeight="1">
      <c r="A8" s="13" t="s">
        <v>2</v>
      </c>
      <c r="B8" s="13" t="s">
        <v>2</v>
      </c>
      <c r="C8" s="16" t="s">
        <v>2</v>
      </c>
      <c r="D8" s="17" t="s">
        <v>2</v>
      </c>
      <c r="E8" s="14" t="s">
        <v>2</v>
      </c>
      <c r="F8" s="14" t="s">
        <v>2</v>
      </c>
      <c r="G8" s="14" t="s">
        <v>2</v>
      </c>
      <c r="H8" s="14" t="s">
        <v>2</v>
      </c>
    </row>
    <row r="9" spans="1:8">
      <c r="A9" s="18" t="s">
        <v>8</v>
      </c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20" t="s">
        <v>15</v>
      </c>
    </row>
    <row r="10" spans="1:8" s="21" customFormat="1" ht="26.25">
      <c r="A10" s="3">
        <v>1</v>
      </c>
      <c r="B10" s="4" t="s">
        <v>28</v>
      </c>
      <c r="C10" s="3">
        <v>690</v>
      </c>
      <c r="D10" s="3">
        <v>8</v>
      </c>
      <c r="E10" s="5">
        <v>302.89999999999998</v>
      </c>
      <c r="F10" s="5">
        <v>209</v>
      </c>
      <c r="G10" s="5">
        <v>219</v>
      </c>
      <c r="H10" s="6">
        <v>427.089</v>
      </c>
    </row>
    <row r="11" spans="1:8" s="21" customFormat="1" ht="26.25">
      <c r="A11" s="3">
        <v>2</v>
      </c>
      <c r="B11" s="4" t="s">
        <v>22</v>
      </c>
      <c r="C11" s="3">
        <v>950</v>
      </c>
      <c r="D11" s="3">
        <v>27</v>
      </c>
      <c r="E11" s="5">
        <v>1118.5</v>
      </c>
      <c r="F11" s="5">
        <v>1062.58</v>
      </c>
      <c r="G11" s="5">
        <v>1092</v>
      </c>
      <c r="H11" s="6">
        <v>1588.27</v>
      </c>
    </row>
    <row r="12" spans="1:8" s="21" customFormat="1" ht="26.25">
      <c r="A12" s="3">
        <v>3</v>
      </c>
      <c r="B12" s="4" t="s">
        <v>29</v>
      </c>
      <c r="C12" s="3">
        <v>420</v>
      </c>
      <c r="D12" s="3">
        <v>116</v>
      </c>
      <c r="E12" s="5">
        <v>5342.9</v>
      </c>
      <c r="F12" s="5">
        <v>2244.02</v>
      </c>
      <c r="G12" s="5">
        <v>2360</v>
      </c>
      <c r="H12" s="6">
        <v>7693.7759999999998</v>
      </c>
    </row>
    <row r="13" spans="1:8" s="21" customFormat="1" ht="26.25">
      <c r="A13" s="3">
        <v>4</v>
      </c>
      <c r="B13" s="4" t="s">
        <v>23</v>
      </c>
      <c r="C13" s="3">
        <v>330</v>
      </c>
      <c r="D13" s="3">
        <v>13</v>
      </c>
      <c r="E13" s="5">
        <v>647</v>
      </c>
      <c r="F13" s="5">
        <v>213.51</v>
      </c>
      <c r="G13" s="5">
        <v>228</v>
      </c>
      <c r="H13" s="6">
        <v>957.56</v>
      </c>
    </row>
    <row r="14" spans="1:8" s="21" customFormat="1" ht="26.25">
      <c r="A14" s="3">
        <v>5</v>
      </c>
      <c r="B14" s="4" t="s">
        <v>21</v>
      </c>
      <c r="C14" s="3">
        <v>440</v>
      </c>
      <c r="D14" s="3">
        <v>37</v>
      </c>
      <c r="E14" s="5">
        <v>1804.2</v>
      </c>
      <c r="F14" s="5">
        <v>793.85</v>
      </c>
      <c r="G14" s="5">
        <v>831</v>
      </c>
      <c r="H14" s="6">
        <v>2561.9639999999999</v>
      </c>
    </row>
    <row r="15" spans="1:8" s="21" customFormat="1" ht="26.25">
      <c r="A15" s="3">
        <v>6</v>
      </c>
      <c r="B15" s="4" t="s">
        <v>24</v>
      </c>
      <c r="C15" s="3">
        <v>640</v>
      </c>
      <c r="D15" s="3">
        <v>7</v>
      </c>
      <c r="E15" s="5">
        <v>308.8</v>
      </c>
      <c r="F15" s="5">
        <v>197.63</v>
      </c>
      <c r="G15" s="5">
        <v>205</v>
      </c>
      <c r="H15" s="6">
        <v>441.584</v>
      </c>
    </row>
    <row r="16" spans="1:8" ht="30" customHeight="1">
      <c r="A16" s="3">
        <v>7</v>
      </c>
      <c r="B16" s="4" t="s">
        <v>25</v>
      </c>
      <c r="C16" s="3">
        <v>480</v>
      </c>
      <c r="D16" s="3">
        <v>28</v>
      </c>
      <c r="E16" s="5">
        <v>1001.6</v>
      </c>
      <c r="F16" s="5">
        <v>480.77</v>
      </c>
      <c r="G16" s="5">
        <v>510</v>
      </c>
      <c r="H16" s="6">
        <v>1422.2719999999999</v>
      </c>
    </row>
    <row r="17" spans="1:8" ht="26.25">
      <c r="A17" s="3">
        <v>8</v>
      </c>
      <c r="B17" s="4" t="s">
        <v>30</v>
      </c>
      <c r="C17" s="3">
        <v>720</v>
      </c>
      <c r="D17" s="3">
        <v>27</v>
      </c>
      <c r="E17" s="5">
        <v>1145.7</v>
      </c>
      <c r="F17" s="5">
        <v>824.9</v>
      </c>
      <c r="G17" s="5">
        <v>855</v>
      </c>
      <c r="H17" s="6">
        <v>1626.894</v>
      </c>
    </row>
    <row r="18" spans="1:8" ht="13.9">
      <c r="A18" s="31" t="s">
        <v>16</v>
      </c>
      <c r="B18" s="32"/>
      <c r="C18" s="7" t="s">
        <v>2</v>
      </c>
      <c r="D18" s="7">
        <f>SUM(D10:D17)</f>
        <v>263</v>
      </c>
      <c r="E18" s="8">
        <f>SUM(E10:E17)</f>
        <v>11671.6</v>
      </c>
      <c r="F18" s="8">
        <f>SUM(F10:F17)</f>
        <v>6026.26</v>
      </c>
      <c r="G18" s="8">
        <f>SUM(G10:G17)</f>
        <v>6300</v>
      </c>
      <c r="H18" s="9">
        <f>SUM(H10:H17)</f>
        <v>16719.409</v>
      </c>
    </row>
    <row r="19" spans="1:8" ht="14.25">
      <c r="B19" s="1"/>
      <c r="C19" s="1"/>
      <c r="D19" s="1"/>
      <c r="E19" s="2"/>
      <c r="F19" s="2"/>
      <c r="G19" s="2"/>
      <c r="H19" s="2"/>
    </row>
    <row r="20" spans="1:8" ht="13.9">
      <c r="B20" s="1"/>
      <c r="C20" s="1"/>
      <c r="D20" s="1"/>
    </row>
    <row r="23" spans="1:8" ht="14.25">
      <c r="B23" s="1"/>
      <c r="C23" s="1"/>
      <c r="D23" s="1"/>
      <c r="E23" s="2"/>
      <c r="F23" s="2"/>
      <c r="G23" s="2"/>
      <c r="H23" s="2"/>
    </row>
    <row r="24" spans="1:8" ht="14.25">
      <c r="B24" s="1" t="s">
        <v>17</v>
      </c>
      <c r="C24" s="1" t="s">
        <v>18</v>
      </c>
      <c r="D24" s="1"/>
      <c r="E24" s="22" t="s">
        <v>1</v>
      </c>
      <c r="F24" s="22"/>
      <c r="G24" s="22"/>
      <c r="H24" s="22"/>
    </row>
    <row r="25" spans="1:8" ht="13.9">
      <c r="B25" s="1" t="s">
        <v>19</v>
      </c>
      <c r="C25" s="1"/>
      <c r="D25" s="1"/>
    </row>
    <row r="28" spans="1:8" ht="14.25">
      <c r="B28" s="1"/>
      <c r="C28" s="1"/>
      <c r="D28" s="1"/>
      <c r="E28" s="2"/>
      <c r="F28" s="2"/>
      <c r="G28" s="2"/>
      <c r="H28" s="2"/>
    </row>
  </sheetData>
  <mergeCells count="9">
    <mergeCell ref="E24:H24"/>
    <mergeCell ref="A1:H1"/>
    <mergeCell ref="A2:H2"/>
    <mergeCell ref="A3:H3"/>
    <mergeCell ref="A4:H4"/>
    <mergeCell ref="A5:H5"/>
    <mergeCell ref="A6:E6"/>
    <mergeCell ref="A7:E7"/>
    <mergeCell ref="A18:B18"/>
  </mergeCells>
  <printOptions horizontalCentered="1"/>
  <pageMargins left="3.8888888888888903E-2" right="1E-3" top="0.5" bottom="0.5" header="0.31458333333333299" footer="0.6298611111111109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RDZharinovK</cp:lastModifiedBy>
  <dcterms:created xsi:type="dcterms:W3CDTF">2025-05-28T08:49:00Z</dcterms:created>
  <dcterms:modified xsi:type="dcterms:W3CDTF">2026-08-24T08:34:54Z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26E7936FE4D349FABB43BE901795A781_12</vt:lpwstr>
  </property>
  <property fmtid="{D5CDD505-2E9C-101B-9397-08002B2CF9AE}" pid="3" name="KSOProductBuildVer">
    <vt:lpwstr>2052-12.1.0.21171</vt:lpwstr>
  </property>
</Properties>
</file>