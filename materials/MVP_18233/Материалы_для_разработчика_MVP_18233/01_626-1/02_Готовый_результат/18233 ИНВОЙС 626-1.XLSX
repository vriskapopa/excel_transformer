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РЕГИОНТЕКСТИЛЬ\HAZHOU\18233 ЛЮ 626 ТМЛ\"/>
    </mc:Choice>
  </mc:AlternateContent>
  <xr:revisionPtr revIDLastSave="0" documentId="13_ncr:1_{59661373-EAB8-459C-886E-E6A40A658D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Sheet1!$A$1:$I$46</definedName>
    <definedName name="_xlnm.Print_Area" localSheetId="0">Sheet1!$A$1:$I$46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/>
  <c r="G45" i="1"/>
  <c r="D45" i="1"/>
  <c r="F44" i="1"/>
  <c r="F43" i="1"/>
  <c r="G42" i="1"/>
  <c r="D42" i="1"/>
  <c r="F41" i="1"/>
  <c r="F42" i="1" s="1"/>
  <c r="G40" i="1"/>
  <c r="D40" i="1"/>
  <c r="F39" i="1"/>
  <c r="F40" i="1" s="1"/>
  <c r="G38" i="1"/>
  <c r="F38" i="1"/>
  <c r="D38" i="1"/>
  <c r="F37" i="1"/>
  <c r="F36" i="1"/>
  <c r="G35" i="1"/>
  <c r="D35" i="1"/>
  <c r="F34" i="1"/>
  <c r="F33" i="1"/>
  <c r="F35" i="1" s="1"/>
  <c r="G32" i="1"/>
  <c r="D32" i="1"/>
  <c r="F31" i="1"/>
  <c r="F30" i="1"/>
  <c r="F32" i="1" s="1"/>
  <c r="G29" i="1"/>
  <c r="D29" i="1"/>
  <c r="F28" i="1"/>
  <c r="F27" i="1"/>
  <c r="F29" i="1" s="1"/>
  <c r="G26" i="1"/>
  <c r="D26" i="1"/>
  <c r="F25" i="1"/>
  <c r="F26" i="1" s="1"/>
  <c r="D46" i="1" l="1"/>
  <c r="F45" i="1"/>
  <c r="G46" i="1"/>
  <c r="F46" i="1"/>
  <c r="A20" i="1" l="1"/>
</calcChain>
</file>

<file path=xl/sharedStrings.xml><?xml version="1.0" encoding="utf-8"?>
<sst xmlns="http://schemas.openxmlformats.org/spreadsheetml/2006/main" count="155" uniqueCount="65">
  <si>
    <t>杭 州 中 纺 进 出 口 有 限 公 司</t>
  </si>
  <si>
    <t/>
  </si>
  <si>
    <t>HANGZHOU ZHONGFANG TEXTILE IMP./EXP. CO., LTD.</t>
  </si>
  <si>
    <t>EX-WORK HANGZHOU</t>
  </si>
  <si>
    <t>INV.NO.</t>
  </si>
  <si>
    <t>Contract No SM-LU2 dd 23/11/2018</t>
  </si>
  <si>
    <t>DATE:</t>
  </si>
  <si>
    <t>NO.</t>
  </si>
  <si>
    <t>DESIGN</t>
  </si>
  <si>
    <t>H.S. CODE</t>
  </si>
  <si>
    <t>WIDTH M</t>
  </si>
  <si>
    <t>TOTAL M2</t>
  </si>
  <si>
    <t>METERS</t>
  </si>
  <si>
    <t>UNIT MT/PIECE</t>
  </si>
  <si>
    <t>UNIT PRICE(RMB)</t>
  </si>
  <si>
    <t>AMOUNT(RMB)</t>
  </si>
  <si>
    <t>meters</t>
  </si>
  <si>
    <t>TOTAL:</t>
  </si>
  <si>
    <t xml:space="preserve"> INVOICE</t>
  </si>
  <si>
    <t>NO.756-2,RENMIN AVENUE,NANYUAN STREET, LINPING DISTRICT,HANGZHOU, ZHEJIANG PROVINCE CHINA, tel: +86-571-86255881, E-mail: liuzhihui@zhongfanghz.cn</t>
  </si>
  <si>
    <t xml:space="preserve">www.zhongfanghz.cn </t>
  </si>
  <si>
    <t>Contract №：SM-LU2 dated 23.11.2018</t>
  </si>
  <si>
    <t>Buyer:</t>
  </si>
  <si>
    <t>Seller:</t>
  </si>
  <si>
    <t>“SM REGIONTEKSTIL'” LLC</t>
  </si>
  <si>
    <t>Address:</t>
  </si>
  <si>
    <t>Warehouse address:</t>
  </si>
  <si>
    <t>West 1/F Bld 3, No. 503 Shunfeng Road, Qianjiang Economic Development Zone, Yuhang District, Hangzhou, Zhejiang Province, China
Phone: +86-571-86255881</t>
  </si>
  <si>
    <t>Terms of payment: 100% payment during 120 days after shipment.</t>
  </si>
  <si>
    <t>Terms of delivery: EXW Hangzhou, China</t>
  </si>
  <si>
    <t>Manufacturer: HANGZHOU ZHONGFANG TEXTILE IMP./EXP. CO., LTD.</t>
  </si>
  <si>
    <t>ROLLS</t>
  </si>
  <si>
    <t>Seller______________</t>
  </si>
  <si>
    <t>/ Liu Zhihui /</t>
  </si>
  <si>
    <t xml:space="preserve">      (signature, stamp)</t>
  </si>
  <si>
    <t>143421 Moscow region, city of Krasnogorsk, 21st kilometer of Baltiya highway, comp. 2, bld. 1, prem. 1     OGRN 1175024014472      TIN 5032281280      KPP 502401001</t>
  </si>
  <si>
    <t>5407610000</t>
  </si>
  <si>
    <t>5801360000</t>
  </si>
  <si>
    <t>6001920000</t>
  </si>
  <si>
    <t>5801330000</t>
  </si>
  <si>
    <t>SOFA FABRIC
Danco</t>
  </si>
  <si>
    <t>Danco 297</t>
  </si>
  <si>
    <t>SOFA FABRIC
Noble</t>
  </si>
  <si>
    <t>Solo 992</t>
  </si>
  <si>
    <t>SOFA FABRIC
Solo</t>
  </si>
  <si>
    <t>Danco 100</t>
  </si>
  <si>
    <t>SOFA FABRIC
Oscar</t>
  </si>
  <si>
    <t>SOFA FABRIC
Umbra</t>
  </si>
  <si>
    <t>ZFRMB26148-626-1</t>
  </si>
  <si>
    <t>Aug.19,2026</t>
  </si>
  <si>
    <t>Delivery date: not later than 19.09.26</t>
  </si>
  <si>
    <t>Melange 928</t>
  </si>
  <si>
    <t>5407530000</t>
  </si>
  <si>
    <t>SOFA FABRIC
Melange</t>
  </si>
  <si>
    <t>Noble 110</t>
  </si>
  <si>
    <t>Noble 624</t>
  </si>
  <si>
    <t>Omega 03</t>
  </si>
  <si>
    <t>Omega 62</t>
  </si>
  <si>
    <t>SOFA FABRIC
Omega</t>
  </si>
  <si>
    <t>Solo 794</t>
  </si>
  <si>
    <t>Oscar 978</t>
  </si>
  <si>
    <t>Umbra 110</t>
  </si>
  <si>
    <t>Lambre 402</t>
  </si>
  <si>
    <t>Lambre 740</t>
  </si>
  <si>
    <t>SOFA FABRIC
Lambre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</si>
</sst>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_ "/>
    <numFmt numFmtId="165" formatCode="0.00_ "/>
  </numFmts>
  <fonts count="22">
    <font>
      <sz val="11"/>
      <color theme="1"/>
      <name val="宋体"/>
      <charset val="134"/>
    </font>
    <font>
      <sz val="11"/>
      <name val="宋体"/>
      <charset val="134"/>
    </font>
    <font>
      <b/>
      <sz val="24"/>
      <name val="宋体"/>
      <charset val="134"/>
    </font>
    <font>
      <sz val="16"/>
      <name val="Times New Roman"/>
      <family val="1"/>
      <charset val="204"/>
    </font>
    <font>
      <b/>
      <u/>
      <sz val="28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宋体"/>
      <charset val="134"/>
    </font>
    <font>
      <sz val="12"/>
      <name val="宋体"/>
      <charset val="134"/>
    </font>
    <font>
      <u/>
      <sz val="11"/>
      <color rgb="FF0000FF"/>
      <name val="Calibri"/>
      <family val="2"/>
      <charset val="204"/>
      <scheme val="minor"/>
    </font>
    <font>
      <sz val="11"/>
      <color theme="1"/>
      <name val="宋体"/>
      <charset val="13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宋体"/>
      <family val="2"/>
    </font>
    <font>
      <sz val="11"/>
      <color theme="1"/>
      <name val="Times New Roman"/>
      <family val="1"/>
      <charset val="204"/>
    </font>
    <font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b/>
      <sz val="1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/>
    <xf numFmtId="0" fontId="14" fillId="0" borderId="0"/>
  </cellStyleXfs>
  <cellXfs count="66">
    <xf numFmtId="0" fontId="0" fillId="0" borderId="0" xfId="0" applyAlignment="1"/>
    <xf numFmtId="0" fontId="1" fillId="0" borderId="0" xfId="2" applyFont="1"/>
    <xf numFmtId="164" fontId="1" fillId="0" borderId="0" xfId="2" applyNumberFormat="1" applyFont="1"/>
    <xf numFmtId="165" fontId="1" fillId="0" borderId="0" xfId="2" applyNumberFormat="1" applyFont="1"/>
    <xf numFmtId="0" fontId="3" fillId="0" borderId="0" xfId="2" applyFont="1" applyAlignment="1">
      <alignment horizontal="center"/>
    </xf>
    <xf numFmtId="164" fontId="3" fillId="0" borderId="0" xfId="2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0" fontId="1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0" fillId="0" borderId="0" xfId="2" applyFont="1" applyAlignment="1">
      <alignment horizontal="center"/>
    </xf>
    <xf numFmtId="165" fontId="10" fillId="0" borderId="0" xfId="2" applyNumberFormat="1" applyFont="1"/>
    <xf numFmtId="0" fontId="10" fillId="0" borderId="0" xfId="2" applyFont="1"/>
    <xf numFmtId="0" fontId="10" fillId="0" borderId="0" xfId="2" applyFont="1" applyAlignment="1">
      <alignment horizontal="left"/>
    </xf>
    <xf numFmtId="0" fontId="1" fillId="0" borderId="0" xfId="2" applyFont="1" applyAlignment="1">
      <alignment horizontal="left"/>
    </xf>
    <xf numFmtId="164" fontId="1" fillId="0" borderId="0" xfId="2" applyNumberFormat="1" applyFont="1" applyAlignment="1">
      <alignment horizontal="left"/>
    </xf>
    <xf numFmtId="0" fontId="12" fillId="0" borderId="0" xfId="2" applyFont="1"/>
    <xf numFmtId="0" fontId="15" fillId="0" borderId="0" xfId="2" applyFont="1" applyAlignment="1">
      <alignment horizontal="left"/>
    </xf>
    <xf numFmtId="0" fontId="7" fillId="0" borderId="0" xfId="2" applyFont="1" applyAlignment="1">
      <alignment vertical="center"/>
    </xf>
    <xf numFmtId="0" fontId="1" fillId="0" borderId="0" xfId="0" applyFont="1" applyAlignment="1"/>
    <xf numFmtId="0" fontId="18" fillId="0" borderId="0" xfId="2" applyFont="1" applyAlignment="1">
      <alignment horizontal="center"/>
    </xf>
    <xf numFmtId="0" fontId="16" fillId="0" borderId="2" xfId="2" applyFont="1" applyBorder="1" applyAlignment="1">
      <alignment horizontal="left"/>
    </xf>
    <xf numFmtId="0" fontId="16" fillId="0" borderId="2" xfId="2" applyFont="1" applyBorder="1" applyAlignment="1">
      <alignment horizontal="right"/>
    </xf>
    <xf numFmtId="0" fontId="17" fillId="0" borderId="0" xfId="2" applyFont="1" applyAlignment="1">
      <alignment horizontal="left" vertical="center" wrapText="1"/>
    </xf>
    <xf numFmtId="0" fontId="18" fillId="0" borderId="0" xfId="2" applyFont="1"/>
    <xf numFmtId="0" fontId="19" fillId="0" borderId="0" xfId="2" applyFont="1"/>
    <xf numFmtId="0" fontId="19" fillId="0" borderId="0" xfId="2" applyFont="1" applyAlignment="1">
      <alignment horizontal="right"/>
    </xf>
    <xf numFmtId="0" fontId="20" fillId="0" borderId="3" xfId="2" applyFont="1" applyBorder="1" applyAlignment="1">
      <alignment horizontal="center"/>
    </xf>
    <xf numFmtId="0" fontId="20" fillId="0" borderId="3" xfId="2" applyFont="1" applyBorder="1" applyAlignment="1">
      <alignment horizontal="center" wrapText="1"/>
    </xf>
    <xf numFmtId="0" fontId="20" fillId="0" borderId="1" xfId="2" applyFont="1" applyBorder="1" applyAlignment="1">
      <alignment horizontal="center" wrapText="1"/>
    </xf>
    <xf numFmtId="0" fontId="6" fillId="0" borderId="0" xfId="2" applyFont="1" applyAlignment="1">
      <alignment horizontal="center" vertical="center"/>
    </xf>
    <xf numFmtId="0" fontId="13" fillId="0" borderId="0" xfId="2" applyFont="1"/>
    <xf numFmtId="0" fontId="16" fillId="0" borderId="1" xfId="2" applyFont="1" applyBorder="1" applyAlignment="1">
      <alignment horizontal="center"/>
    </xf>
    <xf numFmtId="0" fontId="16" fillId="0" borderId="1" xfId="2" applyFont="1" applyBorder="1" applyAlignment="1">
      <alignment horizontal="center" wrapText="1"/>
    </xf>
    <xf numFmtId="165" fontId="16" fillId="0" borderId="1" xfId="2" applyNumberFormat="1" applyFont="1" applyBorder="1" applyAlignment="1">
      <alignment horizontal="center" wrapText="1"/>
    </xf>
    <xf numFmtId="164" fontId="16" fillId="0" borderId="1" xfId="2" applyNumberFormat="1" applyFont="1" applyBorder="1" applyAlignment="1">
      <alignment horizontal="center"/>
    </xf>
    <xf numFmtId="0" fontId="16" fillId="2" borderId="1" xfId="2" applyFont="1" applyFill="1" applyBorder="1" applyAlignment="1">
      <alignment horizontal="center"/>
    </xf>
    <xf numFmtId="0" fontId="16" fillId="2" borderId="1" xfId="2" applyFont="1" applyFill="1" applyBorder="1" applyAlignment="1">
      <alignment horizontal="center" wrapText="1"/>
    </xf>
    <xf numFmtId="165" fontId="16" fillId="2" borderId="1" xfId="2" applyNumberFormat="1" applyFont="1" applyFill="1" applyBorder="1" applyAlignment="1">
      <alignment horizontal="center"/>
    </xf>
    <xf numFmtId="164" fontId="16" fillId="2" borderId="1" xfId="2" applyNumberFormat="1" applyFont="1" applyFill="1" applyBorder="1" applyAlignment="1">
      <alignment horizontal="center"/>
    </xf>
    <xf numFmtId="0" fontId="21" fillId="0" borderId="4" xfId="2" applyFont="1" applyBorder="1" applyAlignment="1">
      <alignment horizontal="center"/>
    </xf>
    <xf numFmtId="0" fontId="21" fillId="0" borderId="5" xfId="2" applyFont="1" applyBorder="1" applyAlignment="1">
      <alignment horizontal="center"/>
    </xf>
    <xf numFmtId="0" fontId="21" fillId="0" borderId="6" xfId="2" applyFont="1" applyBorder="1" applyAlignment="1">
      <alignment horizontal="center"/>
    </xf>
    <xf numFmtId="165" fontId="21" fillId="0" borderId="5" xfId="2" applyNumberFormat="1" applyFont="1" applyBorder="1" applyAlignment="1">
      <alignment horizontal="center"/>
    </xf>
    <xf numFmtId="164" fontId="21" fillId="0" borderId="5" xfId="2" applyNumberFormat="1" applyFont="1" applyBorder="1" applyAlignment="1">
      <alignment horizontal="center"/>
    </xf>
    <xf numFmtId="165" fontId="21" fillId="0" borderId="7" xfId="2" applyNumberFormat="1" applyFont="1" applyBorder="1" applyAlignment="1">
      <alignment horizontal="center"/>
    </xf>
    <xf numFmtId="0" fontId="7" fillId="0" borderId="0" xfId="2" applyFont="1" applyAlignment="1">
      <alignment horizontal="right" vertical="center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right"/>
    </xf>
    <xf numFmtId="0" fontId="2" fillId="0" borderId="0" xfId="2" applyFont="1" applyAlignment="1">
      <alignment horizontal="center"/>
    </xf>
    <xf numFmtId="0" fontId="1" fillId="0" borderId="0" xfId="2" applyFont="1"/>
    <xf numFmtId="164" fontId="1" fillId="0" borderId="0" xfId="2" applyNumberFormat="1" applyFont="1"/>
    <xf numFmtId="165" fontId="1" fillId="0" borderId="0" xfId="2" applyNumberFormat="1" applyFont="1"/>
    <xf numFmtId="0" fontId="3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8" fillId="0" borderId="0" xfId="1" applyAlignment="1">
      <alignment horizontal="center"/>
    </xf>
    <xf numFmtId="0" fontId="1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165" fontId="11" fillId="0" borderId="0" xfId="2" applyNumberFormat="1" applyFont="1" applyAlignment="1">
      <alignment horizontal="left"/>
    </xf>
    <xf numFmtId="165" fontId="10" fillId="0" borderId="0" xfId="2" applyNumberFormat="1" applyFont="1" applyAlignment="1">
      <alignment horizontal="center"/>
    </xf>
    <xf numFmtId="0" fontId="10" fillId="0" borderId="0" xfId="2" applyFont="1" applyAlignment="1">
      <alignment horizontal="left"/>
    </xf>
    <xf numFmtId="165" fontId="10" fillId="0" borderId="0" xfId="2" applyNumberFormat="1" applyFont="1" applyAlignment="1">
      <alignment horizontal="center" wrapText="1"/>
    </xf>
    <xf numFmtId="0" fontId="5" fillId="0" borderId="0" xfId="2" applyFont="1" applyAlignment="1">
      <alignment horizontal="center" wrapText="1"/>
    </xf>
    <xf numFmtId="0" fontId="17" fillId="0" borderId="0" xfId="2" applyFont="1" applyAlignment="1">
      <alignment horizontal="left" vertical="center"/>
    </xf>
    <xf numFmtId="0" fontId="1" fillId="0" borderId="0" xfId="0" applyFont="1" applyAlignment="1"/>
    <xf numFmtId="0" fontId="17" fillId="0" borderId="0" xfId="2" applyFont="1" applyAlignment="1">
      <alignment horizontal="left" vertical="center" wrapText="1"/>
    </xf>
  </cellXfs>
  <cellStyles count="4">
    <cellStyle name="Normal" xfId="2" xr:uid="{00000000-0005-0000-0000-000000000000}"/>
    <cellStyle name="Normal 2" xfId="3" xr:uid="{00000000-0005-0000-0000-000001000000}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385764</xdr:colOff>
      <xdr:row>47</xdr:row>
      <xdr:rowOff>176893</xdr:rowOff>
    </xdr:from>
    <xdr:ext cx="2602564" cy="1249188"/>
    <xdr:pic>
      <xdr:nvPicPr>
        <xdr:cNvPr id="2" name="Рисунок 1">
          <a:extLst>
            <a:ext uri="{FF2B5EF4-FFF2-40B4-BE49-F238E27FC236}">
              <a16:creationId xmlns:a16="http://schemas.microsoft.com/office/drawing/2014/main" id="{E872A5E2-5B78-40F7-B48D-D0546AF6F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1621" y="19485429"/>
          <a:ext cx="2602564" cy="1249188"/>
        </a:xfrm>
        <a:prstGeom prst="rect">
          <a:avLst/>
        </a:prstGeom>
      </xdr:spPr>
    </xdr:pic>
    <xdr:clientData/>
  </xdr:oneCellAnchor>
  <xdr:oneCellAnchor>
    <xdr:from>
      <xdr:col>1</xdr:col>
      <xdr:colOff>927326</xdr:colOff>
      <xdr:row>48</xdr:row>
      <xdr:rowOff>54428</xdr:rowOff>
    </xdr:from>
    <xdr:ext cx="749873" cy="439658"/>
    <xdr:pic>
      <xdr:nvPicPr>
        <xdr:cNvPr id="3" name="Рисунок 2">
          <a:extLst>
            <a:ext uri="{FF2B5EF4-FFF2-40B4-BE49-F238E27FC236}">
              <a16:creationId xmlns:a16="http://schemas.microsoft.com/office/drawing/2014/main" id="{18BBA440-3A8F-48B0-87F7-79899AC4E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8659" y="17830119"/>
          <a:ext cx="749873" cy="4396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zhongfanghz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4"/>
  <sheetViews>
    <sheetView tabSelected="1" topLeftCell="A5" zoomScale="70" zoomScaleNormal="70" workbookViewId="0">
      <selection activeCell="A47" sqref="A47:XFD75"/>
    </sheetView>
  </sheetViews>
  <sheetFormatPr defaultColWidth="9" defaultRowHeight="13.5"/>
  <cols>
    <col min="1" max="1" width="4.46484375" style="1" customWidth="1"/>
    <col min="2" max="2" width="18.796875" style="1" customWidth="1"/>
    <col min="3" max="3" width="15.33203125" style="1" customWidth="1"/>
    <col min="4" max="4" width="8.06640625" style="1" customWidth="1"/>
    <col min="5" max="5" width="9.73046875" style="2" customWidth="1"/>
    <col min="6" max="6" width="10" style="3" customWidth="1"/>
    <col min="7" max="7" width="14.59765625" style="1" customWidth="1"/>
    <col min="8" max="8" width="14.33203125" style="1" customWidth="1"/>
    <col min="9" max="9" width="15.33203125" style="1" customWidth="1"/>
    <col min="10" max="10" width="16.73046875" style="1" customWidth="1"/>
    <col min="11" max="11" width="6" style="1" customWidth="1"/>
    <col min="12" max="16384" width="9" style="1"/>
  </cols>
  <sheetData>
    <row r="1" spans="1:11" ht="30.75">
      <c r="A1" s="48" t="s">
        <v>0</v>
      </c>
      <c r="B1" s="49"/>
      <c r="C1" s="49"/>
      <c r="D1" s="49"/>
      <c r="E1" s="50"/>
      <c r="F1" s="51"/>
      <c r="G1" s="49"/>
      <c r="H1" s="49"/>
      <c r="I1" s="49"/>
      <c r="J1" s="8" t="s">
        <v>1</v>
      </c>
      <c r="K1" s="8" t="s">
        <v>1</v>
      </c>
    </row>
    <row r="2" spans="1:11" ht="20.25">
      <c r="A2" s="52" t="s">
        <v>2</v>
      </c>
      <c r="B2" s="49"/>
      <c r="C2" s="49"/>
      <c r="D2" s="49"/>
      <c r="E2" s="50"/>
      <c r="F2" s="51"/>
      <c r="G2" s="49"/>
      <c r="H2" s="49"/>
      <c r="I2" s="49"/>
      <c r="J2" s="8" t="s">
        <v>1</v>
      </c>
      <c r="K2" s="8" t="s">
        <v>1</v>
      </c>
    </row>
    <row r="3" spans="1:11" ht="28.5" customHeight="1">
      <c r="A3" s="54" t="s">
        <v>19</v>
      </c>
      <c r="B3" s="54"/>
      <c r="C3" s="54"/>
      <c r="D3" s="54"/>
      <c r="E3" s="54"/>
      <c r="F3" s="54"/>
      <c r="G3" s="54"/>
      <c r="H3" s="54"/>
      <c r="I3" s="54"/>
      <c r="J3" s="8"/>
      <c r="K3" s="8"/>
    </row>
    <row r="4" spans="1:11" ht="20.25">
      <c r="A4" s="4"/>
      <c r="D4" s="55" t="s">
        <v>20</v>
      </c>
      <c r="E4" s="56"/>
      <c r="F4" s="56"/>
      <c r="J4" s="8"/>
      <c r="K4" s="8"/>
    </row>
    <row r="5" spans="1:11" ht="10.5" customHeight="1">
      <c r="A5" s="4" t="s">
        <v>1</v>
      </c>
      <c r="B5" s="4" t="s">
        <v>1</v>
      </c>
      <c r="C5" s="4" t="s">
        <v>1</v>
      </c>
      <c r="D5" s="4" t="s">
        <v>1</v>
      </c>
      <c r="E5" s="5" t="s">
        <v>1</v>
      </c>
      <c r="F5" s="6" t="s">
        <v>1</v>
      </c>
      <c r="G5" s="4" t="s">
        <v>1</v>
      </c>
      <c r="H5" s="4" t="s">
        <v>1</v>
      </c>
      <c r="I5" s="4" t="s">
        <v>1</v>
      </c>
      <c r="J5" s="8" t="s">
        <v>1</v>
      </c>
      <c r="K5" s="8" t="s">
        <v>1</v>
      </c>
    </row>
    <row r="6" spans="1:11" ht="30" customHeight="1">
      <c r="A6" s="53" t="s">
        <v>18</v>
      </c>
      <c r="B6" s="49"/>
      <c r="C6" s="49"/>
      <c r="D6" s="49"/>
      <c r="E6" s="50"/>
      <c r="F6" s="51"/>
      <c r="G6" s="49"/>
      <c r="H6" s="49"/>
      <c r="I6" s="49"/>
      <c r="J6" s="8" t="s">
        <v>1</v>
      </c>
      <c r="K6" s="8" t="s">
        <v>1</v>
      </c>
    </row>
    <row r="7" spans="1:11" ht="13.5" customHeight="1">
      <c r="A7" s="9"/>
      <c r="J7" s="8"/>
      <c r="K7" s="8"/>
    </row>
    <row r="8" spans="1:11" ht="13.5" customHeight="1">
      <c r="A8" s="57" t="s">
        <v>21</v>
      </c>
      <c r="B8" s="57"/>
      <c r="C8" s="57"/>
      <c r="J8" s="8"/>
      <c r="K8" s="8"/>
    </row>
    <row r="9" spans="1:11" ht="13.5" customHeight="1">
      <c r="A9" s="57" t="s">
        <v>22</v>
      </c>
      <c r="B9" s="57"/>
      <c r="F9" s="58" t="s">
        <v>23</v>
      </c>
      <c r="G9" s="58"/>
      <c r="J9" s="8"/>
      <c r="K9" s="8"/>
    </row>
    <row r="10" spans="1:11" ht="13.5" customHeight="1">
      <c r="A10" s="60" t="s">
        <v>24</v>
      </c>
      <c r="B10" s="60"/>
      <c r="C10" s="60"/>
      <c r="F10" s="59" t="s">
        <v>2</v>
      </c>
      <c r="G10" s="59"/>
      <c r="H10" s="59"/>
      <c r="I10" s="59"/>
      <c r="J10" s="8"/>
      <c r="K10" s="8"/>
    </row>
    <row r="11" spans="1:11" ht="13.5" customHeight="1">
      <c r="A11" s="57" t="s">
        <v>25</v>
      </c>
      <c r="B11" s="57"/>
      <c r="F11" s="58" t="s">
        <v>25</v>
      </c>
      <c r="G11" s="58"/>
      <c r="H11" s="11"/>
      <c r="I11" s="11"/>
      <c r="J11" s="8"/>
      <c r="K11" s="8"/>
    </row>
    <row r="12" spans="1:11" ht="69.75" customHeight="1">
      <c r="A12" s="62" t="s">
        <v>35</v>
      </c>
      <c r="B12" s="54"/>
      <c r="C12" s="54"/>
      <c r="D12" s="54"/>
      <c r="F12" s="61" t="s">
        <v>19</v>
      </c>
      <c r="G12" s="61"/>
      <c r="H12" s="61"/>
      <c r="I12" s="61"/>
      <c r="J12" s="8"/>
      <c r="K12" s="8"/>
    </row>
    <row r="13" spans="1:11" ht="13.5" customHeight="1">
      <c r="A13" s="9"/>
      <c r="F13" s="58" t="s">
        <v>26</v>
      </c>
      <c r="G13" s="58"/>
      <c r="H13" s="11"/>
      <c r="I13" s="11"/>
      <c r="J13" s="8"/>
      <c r="K13" s="8"/>
    </row>
    <row r="14" spans="1:11" ht="65.25" customHeight="1">
      <c r="A14" s="9"/>
      <c r="F14" s="61" t="s">
        <v>27</v>
      </c>
      <c r="G14" s="59"/>
      <c r="H14" s="59"/>
      <c r="I14" s="59"/>
      <c r="J14" s="8"/>
      <c r="K14" s="8"/>
    </row>
    <row r="15" spans="1:11" ht="13.5" customHeight="1">
      <c r="A15" s="12" t="s">
        <v>28</v>
      </c>
      <c r="B15" s="13"/>
      <c r="C15" s="13"/>
      <c r="D15" s="13"/>
      <c r="E15" s="14"/>
      <c r="F15" s="10"/>
      <c r="G15" s="11"/>
      <c r="H15" s="11"/>
      <c r="I15" s="11"/>
      <c r="J15" s="8"/>
      <c r="K15" s="8"/>
    </row>
    <row r="16" spans="1:11" ht="13.5" customHeight="1">
      <c r="A16" s="12" t="s">
        <v>29</v>
      </c>
      <c r="B16" s="13"/>
      <c r="C16" s="13"/>
      <c r="D16" s="13"/>
      <c r="E16" s="14"/>
      <c r="F16" s="10"/>
      <c r="G16" s="11"/>
      <c r="H16" s="11"/>
      <c r="I16" s="11"/>
      <c r="J16" s="8"/>
      <c r="K16" s="8"/>
    </row>
    <row r="17" spans="1:12" ht="18" customHeight="1">
      <c r="A17" s="16" t="s">
        <v>50</v>
      </c>
      <c r="B17" s="13"/>
      <c r="C17" s="13"/>
      <c r="D17" s="13"/>
      <c r="E17" s="14"/>
      <c r="F17" s="10"/>
      <c r="G17" s="11"/>
      <c r="H17" s="11"/>
      <c r="I17" s="11"/>
      <c r="J17" s="8"/>
      <c r="K17" s="8"/>
    </row>
    <row r="18" spans="1:12" ht="15.75" customHeight="1">
      <c r="A18" s="12" t="s">
        <v>30</v>
      </c>
      <c r="B18" s="13"/>
      <c r="C18" s="13"/>
      <c r="D18" s="13"/>
      <c r="E18" s="14"/>
      <c r="F18" s="10"/>
      <c r="G18" s="11"/>
      <c r="H18" s="11"/>
      <c r="I18" s="11"/>
      <c r="J18" s="8"/>
      <c r="K18" s="8"/>
    </row>
    <row r="19" spans="1:12" ht="16.5" customHeight="1">
      <c r="A19" s="9"/>
      <c r="F19" s="10"/>
      <c r="G19" s="11"/>
      <c r="H19" s="11"/>
      <c r="I19" s="11"/>
      <c r="J19" s="8"/>
      <c r="K19" s="8"/>
    </row>
    <row r="20" spans="1:12" ht="17.25" customHeight="1">
      <c r="A20" s="12" t="str">
        <f>CONCATENATE("SPECIFICATION № ",J21," ",J22)</f>
        <v>SPECIFICATION № ZFRMB26148-626-1 Aug.19,2026</v>
      </c>
      <c r="F20" s="10"/>
      <c r="G20" s="11"/>
      <c r="H20" s="11"/>
      <c r="I20" s="11"/>
      <c r="J20" s="8"/>
      <c r="K20" s="8"/>
    </row>
    <row r="21" spans="1:12" ht="23.2" customHeight="1">
      <c r="A21" s="63" t="s">
        <v>3</v>
      </c>
      <c r="B21" s="64"/>
      <c r="C21" s="64"/>
      <c r="D21" s="19" t="s">
        <v>1</v>
      </c>
      <c r="E21" s="19" t="s">
        <v>1</v>
      </c>
      <c r="F21" s="19" t="s">
        <v>1</v>
      </c>
      <c r="G21" s="19" t="s">
        <v>1</v>
      </c>
      <c r="H21" s="19" t="s">
        <v>1</v>
      </c>
      <c r="I21" s="20" t="s">
        <v>4</v>
      </c>
      <c r="J21" s="21" t="s">
        <v>48</v>
      </c>
      <c r="K21" s="8"/>
      <c r="L21" s="8" t="s">
        <v>1</v>
      </c>
    </row>
    <row r="22" spans="1:12" ht="23.2" customHeight="1">
      <c r="A22" s="65" t="s">
        <v>5</v>
      </c>
      <c r="B22" s="64"/>
      <c r="C22" s="64"/>
      <c r="D22" s="7" t="s">
        <v>1</v>
      </c>
      <c r="E22" s="23" t="s">
        <v>1</v>
      </c>
      <c r="F22" s="23" t="s">
        <v>1</v>
      </c>
      <c r="G22" s="7" t="s">
        <v>1</v>
      </c>
      <c r="H22" s="7" t="s">
        <v>1</v>
      </c>
      <c r="I22" s="20" t="s">
        <v>6</v>
      </c>
      <c r="J22" s="21" t="s">
        <v>49</v>
      </c>
      <c r="K22" s="8"/>
      <c r="L22" s="8" t="s">
        <v>1</v>
      </c>
    </row>
    <row r="23" spans="1:12" ht="18" customHeight="1">
      <c r="A23" s="22" t="s">
        <v>1</v>
      </c>
      <c r="B23" s="22" t="s">
        <v>1</v>
      </c>
      <c r="C23" s="8" t="s">
        <v>1</v>
      </c>
      <c r="D23" s="8" t="s">
        <v>1</v>
      </c>
      <c r="E23" s="24" t="s">
        <v>1</v>
      </c>
      <c r="F23" s="24" t="s">
        <v>1</v>
      </c>
      <c r="G23" s="8" t="s">
        <v>1</v>
      </c>
      <c r="H23" s="8" t="s">
        <v>1</v>
      </c>
      <c r="I23" s="25" t="s">
        <v>1</v>
      </c>
      <c r="J23" s="25" t="s">
        <v>1</v>
      </c>
      <c r="K23" s="8"/>
      <c r="L23" s="8" t="s">
        <v>1</v>
      </c>
    </row>
    <row r="24" spans="1:12" ht="13.9">
      <c r="A24" s="26" t="s">
        <v>7</v>
      </c>
      <c r="B24" s="26" t="s">
        <v>8</v>
      </c>
      <c r="C24" s="26" t="s">
        <v>9</v>
      </c>
      <c r="D24" s="27" t="s">
        <v>31</v>
      </c>
      <c r="E24" s="27" t="s">
        <v>10</v>
      </c>
      <c r="F24" s="27" t="s">
        <v>11</v>
      </c>
      <c r="G24" s="27" t="s">
        <v>12</v>
      </c>
      <c r="H24" s="27" t="s">
        <v>13</v>
      </c>
      <c r="I24" s="27" t="s">
        <v>14</v>
      </c>
      <c r="J24" s="28" t="s">
        <v>15</v>
      </c>
      <c r="K24" s="29"/>
      <c r="L24" s="29" t="s">
        <v>1</v>
      </c>
    </row>
    <row r="25" spans="1:12" ht="18" customHeight="1">
      <c r="A25" s="31">
        <v>1</v>
      </c>
      <c r="B25" s="31" t="s">
        <v>51</v>
      </c>
      <c r="C25" s="31" t="s">
        <v>52</v>
      </c>
      <c r="D25" s="32">
        <v>8</v>
      </c>
      <c r="E25" s="33">
        <v>1.41</v>
      </c>
      <c r="F25" s="34">
        <f>E25*G25</f>
        <v>427.08899999999994</v>
      </c>
      <c r="G25" s="33">
        <v>302.89999999999998</v>
      </c>
      <c r="H25" s="32" t="s">
        <v>16</v>
      </c>
      <c r="I25" s="33"/>
      <c r="J25" s="33"/>
      <c r="K25" s="18"/>
      <c r="L25" s="18"/>
    </row>
    <row r="26" spans="1:12" ht="18" customHeight="1">
      <c r="A26" s="35"/>
      <c r="B26" s="36" t="s">
        <v>53</v>
      </c>
      <c r="C26" s="35" t="s">
        <v>52</v>
      </c>
      <c r="D26" s="35">
        <f>SUM(D25:D25)</f>
        <v>8</v>
      </c>
      <c r="E26" s="37">
        <v>1.41</v>
      </c>
      <c r="F26" s="38">
        <f>SUM(F25:F25)</f>
        <v>427.08899999999994</v>
      </c>
      <c r="G26" s="37">
        <f>SUM(G25:G25)</f>
        <v>302.89999999999998</v>
      </c>
      <c r="H26" s="35" t="s">
        <v>16</v>
      </c>
      <c r="I26" s="37">
        <v>22.5</v>
      </c>
      <c r="J26" s="37">
        <v>6815.25</v>
      </c>
      <c r="K26" s="18"/>
      <c r="L26" s="18"/>
    </row>
    <row r="27" spans="1:12" ht="14.25">
      <c r="A27" s="31">
        <v>2</v>
      </c>
      <c r="B27" s="31" t="s">
        <v>54</v>
      </c>
      <c r="C27" s="31" t="s">
        <v>36</v>
      </c>
      <c r="D27" s="32">
        <v>15</v>
      </c>
      <c r="E27" s="33">
        <v>1.42</v>
      </c>
      <c r="F27" s="34">
        <f>E27*G27</f>
        <v>868.32999999999993</v>
      </c>
      <c r="G27" s="33">
        <v>611.5</v>
      </c>
      <c r="H27" s="32" t="s">
        <v>16</v>
      </c>
      <c r="I27" s="33"/>
      <c r="J27" s="33"/>
      <c r="K27" s="18"/>
      <c r="L27" s="18"/>
    </row>
    <row r="28" spans="1:12" ht="18" customHeight="1">
      <c r="A28" s="31">
        <v>3</v>
      </c>
      <c r="B28" s="31" t="s">
        <v>55</v>
      </c>
      <c r="C28" s="31" t="s">
        <v>36</v>
      </c>
      <c r="D28" s="32">
        <v>12</v>
      </c>
      <c r="E28" s="33">
        <v>1.42</v>
      </c>
      <c r="F28" s="34">
        <f>E28*G28</f>
        <v>719.93999999999994</v>
      </c>
      <c r="G28" s="33">
        <v>507</v>
      </c>
      <c r="H28" s="32" t="s">
        <v>16</v>
      </c>
      <c r="I28" s="33"/>
      <c r="J28" s="33"/>
      <c r="K28" s="18"/>
      <c r="L28" s="18"/>
    </row>
    <row r="29" spans="1:12" ht="18" customHeight="1">
      <c r="A29" s="35"/>
      <c r="B29" s="36" t="s">
        <v>42</v>
      </c>
      <c r="C29" s="35" t="s">
        <v>36</v>
      </c>
      <c r="D29" s="35">
        <f>SUM(D27:D28)</f>
        <v>27</v>
      </c>
      <c r="E29" s="37">
        <v>1.42</v>
      </c>
      <c r="F29" s="38">
        <f>SUM(F27:F28)</f>
        <v>1588.27</v>
      </c>
      <c r="G29" s="37">
        <f>SUM(G27:G28)</f>
        <v>1118.5</v>
      </c>
      <c r="H29" s="35" t="s">
        <v>16</v>
      </c>
      <c r="I29" s="37">
        <v>43.8</v>
      </c>
      <c r="J29" s="37">
        <v>48990.3</v>
      </c>
      <c r="K29" s="18"/>
      <c r="L29" s="18"/>
    </row>
    <row r="30" spans="1:12" ht="14.25">
      <c r="A30" s="31">
        <v>4</v>
      </c>
      <c r="B30" s="31" t="s">
        <v>56</v>
      </c>
      <c r="C30" s="31" t="s">
        <v>36</v>
      </c>
      <c r="D30" s="32">
        <v>81</v>
      </c>
      <c r="E30" s="33">
        <v>1.44</v>
      </c>
      <c r="F30" s="34">
        <f>E30*G30</f>
        <v>5346.576</v>
      </c>
      <c r="G30" s="33">
        <v>3712.9</v>
      </c>
      <c r="H30" s="32" t="s">
        <v>16</v>
      </c>
      <c r="I30" s="33"/>
      <c r="J30" s="33"/>
      <c r="K30" s="18"/>
      <c r="L30" s="18"/>
    </row>
    <row r="31" spans="1:12" ht="18" customHeight="1">
      <c r="A31" s="31">
        <v>5</v>
      </c>
      <c r="B31" s="31" t="s">
        <v>57</v>
      </c>
      <c r="C31" s="31" t="s">
        <v>36</v>
      </c>
      <c r="D31" s="32">
        <v>35</v>
      </c>
      <c r="E31" s="33">
        <v>1.44</v>
      </c>
      <c r="F31" s="34">
        <f>E31*G31</f>
        <v>2347.1999999999998</v>
      </c>
      <c r="G31" s="33">
        <v>1630</v>
      </c>
      <c r="H31" s="32" t="s">
        <v>16</v>
      </c>
      <c r="I31" s="33"/>
      <c r="J31" s="33"/>
      <c r="K31" s="18"/>
      <c r="L31" s="18"/>
    </row>
    <row r="32" spans="1:12" ht="26.25">
      <c r="A32" s="35"/>
      <c r="B32" s="36" t="s">
        <v>58</v>
      </c>
      <c r="C32" s="35" t="s">
        <v>36</v>
      </c>
      <c r="D32" s="35">
        <f>SUM(D30:D31)</f>
        <v>116</v>
      </c>
      <c r="E32" s="37">
        <v>1.44</v>
      </c>
      <c r="F32" s="38">
        <f>SUM(F30:F31)</f>
        <v>7693.7759999999998</v>
      </c>
      <c r="G32" s="37">
        <f>SUM(G30:G31)</f>
        <v>5342.9</v>
      </c>
      <c r="H32" s="35" t="s">
        <v>16</v>
      </c>
      <c r="I32" s="37">
        <v>9.5</v>
      </c>
      <c r="J32" s="37">
        <v>50757.55</v>
      </c>
      <c r="K32" s="18"/>
      <c r="L32" s="18"/>
    </row>
    <row r="33" spans="1:12" ht="18" customHeight="1">
      <c r="A33" s="31">
        <v>6</v>
      </c>
      <c r="B33" s="31" t="s">
        <v>59</v>
      </c>
      <c r="C33" s="31" t="s">
        <v>36</v>
      </c>
      <c r="D33" s="32">
        <v>6</v>
      </c>
      <c r="E33" s="33">
        <v>1.48</v>
      </c>
      <c r="F33" s="34">
        <f>E33*G33</f>
        <v>448.29199999999997</v>
      </c>
      <c r="G33" s="33">
        <v>302.89999999999998</v>
      </c>
      <c r="H33" s="32" t="s">
        <v>16</v>
      </c>
      <c r="I33" s="33"/>
      <c r="J33" s="33"/>
      <c r="K33" s="18"/>
      <c r="L33" s="18"/>
    </row>
    <row r="34" spans="1:12" ht="18" customHeight="1">
      <c r="A34" s="31">
        <v>7</v>
      </c>
      <c r="B34" s="31" t="s">
        <v>43</v>
      </c>
      <c r="C34" s="31" t="s">
        <v>36</v>
      </c>
      <c r="D34" s="32">
        <v>7</v>
      </c>
      <c r="E34" s="33">
        <v>1.48</v>
      </c>
      <c r="F34" s="34">
        <f>E34*G34</f>
        <v>509.26800000000003</v>
      </c>
      <c r="G34" s="33">
        <v>344.1</v>
      </c>
      <c r="H34" s="32" t="s">
        <v>16</v>
      </c>
      <c r="I34" s="33"/>
      <c r="J34" s="33"/>
      <c r="K34" s="18"/>
      <c r="L34" s="18"/>
    </row>
    <row r="35" spans="1:12" ht="18" customHeight="1">
      <c r="A35" s="35"/>
      <c r="B35" s="36" t="s">
        <v>44</v>
      </c>
      <c r="C35" s="35" t="s">
        <v>36</v>
      </c>
      <c r="D35" s="35">
        <f>SUM(D33:D34)</f>
        <v>13</v>
      </c>
      <c r="E35" s="37">
        <v>1.48</v>
      </c>
      <c r="F35" s="38">
        <f>SUM(F33:F34)</f>
        <v>957.56</v>
      </c>
      <c r="G35" s="37">
        <f>SUM(G33:G34)</f>
        <v>647</v>
      </c>
      <c r="H35" s="35" t="s">
        <v>16</v>
      </c>
      <c r="I35" s="37">
        <v>19</v>
      </c>
      <c r="J35" s="37">
        <v>12293</v>
      </c>
      <c r="K35" s="18"/>
      <c r="L35" s="18"/>
    </row>
    <row r="36" spans="1:12" ht="18" customHeight="1">
      <c r="A36" s="31">
        <v>8</v>
      </c>
      <c r="B36" s="31" t="s">
        <v>45</v>
      </c>
      <c r="C36" s="31" t="s">
        <v>39</v>
      </c>
      <c r="D36" s="32">
        <v>26</v>
      </c>
      <c r="E36" s="33">
        <v>1.42</v>
      </c>
      <c r="F36" s="34">
        <f>E36*G36</f>
        <v>1801.27</v>
      </c>
      <c r="G36" s="33">
        <v>1268.5</v>
      </c>
      <c r="H36" s="32" t="s">
        <v>16</v>
      </c>
      <c r="I36" s="33"/>
      <c r="J36" s="33"/>
      <c r="K36" s="18"/>
      <c r="L36" s="18"/>
    </row>
    <row r="37" spans="1:12" ht="18" customHeight="1">
      <c r="A37" s="31">
        <v>9</v>
      </c>
      <c r="B37" s="31" t="s">
        <v>41</v>
      </c>
      <c r="C37" s="31" t="s">
        <v>39</v>
      </c>
      <c r="D37" s="32">
        <v>11</v>
      </c>
      <c r="E37" s="33">
        <v>1.42</v>
      </c>
      <c r="F37" s="34">
        <f>E37*G37</f>
        <v>760.69400000000007</v>
      </c>
      <c r="G37" s="33">
        <v>535.70000000000005</v>
      </c>
      <c r="H37" s="32" t="s">
        <v>16</v>
      </c>
      <c r="I37" s="33"/>
      <c r="J37" s="33"/>
      <c r="K37" s="18"/>
      <c r="L37" s="18"/>
    </row>
    <row r="38" spans="1:12" ht="18" customHeight="1">
      <c r="A38" s="35"/>
      <c r="B38" s="36" t="s">
        <v>40</v>
      </c>
      <c r="C38" s="35" t="s">
        <v>39</v>
      </c>
      <c r="D38" s="35">
        <f>SUM(D36:D37)</f>
        <v>37</v>
      </c>
      <c r="E38" s="37">
        <v>1.42</v>
      </c>
      <c r="F38" s="38">
        <f>SUM(F36:F37)</f>
        <v>2561.9639999999999</v>
      </c>
      <c r="G38" s="37">
        <f>SUM(G36:G37)</f>
        <v>1804.2</v>
      </c>
      <c r="H38" s="35" t="s">
        <v>16</v>
      </c>
      <c r="I38" s="37">
        <v>12.1</v>
      </c>
      <c r="J38" s="37">
        <v>21830.82</v>
      </c>
      <c r="K38" s="18"/>
      <c r="L38" s="18"/>
    </row>
    <row r="39" spans="1:12" ht="18" customHeight="1">
      <c r="A39" s="31">
        <v>10</v>
      </c>
      <c r="B39" s="31" t="s">
        <v>60</v>
      </c>
      <c r="C39" s="31" t="s">
        <v>37</v>
      </c>
      <c r="D39" s="32">
        <v>7</v>
      </c>
      <c r="E39" s="33">
        <v>1.43</v>
      </c>
      <c r="F39" s="34">
        <f>E39*G39</f>
        <v>441.584</v>
      </c>
      <c r="G39" s="33">
        <v>308.8</v>
      </c>
      <c r="H39" s="32" t="s">
        <v>16</v>
      </c>
      <c r="I39" s="33"/>
      <c r="J39" s="33"/>
      <c r="K39" s="18"/>
      <c r="L39" s="18"/>
    </row>
    <row r="40" spans="1:12" ht="18" customHeight="1">
      <c r="A40" s="35"/>
      <c r="B40" s="36" t="s">
        <v>46</v>
      </c>
      <c r="C40" s="35" t="s">
        <v>37</v>
      </c>
      <c r="D40" s="35">
        <f>SUM(D39:D39)</f>
        <v>7</v>
      </c>
      <c r="E40" s="37">
        <v>1.43</v>
      </c>
      <c r="F40" s="38">
        <f>SUM(F39:F39)</f>
        <v>441.584</v>
      </c>
      <c r="G40" s="37">
        <f>SUM(G39:G39)</f>
        <v>308.8</v>
      </c>
      <c r="H40" s="35" t="s">
        <v>16</v>
      </c>
      <c r="I40" s="37">
        <v>22.9</v>
      </c>
      <c r="J40" s="37">
        <v>7071.52</v>
      </c>
      <c r="K40" s="18"/>
      <c r="L40" s="18"/>
    </row>
    <row r="41" spans="1:12" ht="14.25">
      <c r="A41" s="31">
        <v>11</v>
      </c>
      <c r="B41" s="31" t="s">
        <v>61</v>
      </c>
      <c r="C41" s="31" t="s">
        <v>37</v>
      </c>
      <c r="D41" s="32">
        <v>28</v>
      </c>
      <c r="E41" s="33">
        <v>1.42</v>
      </c>
      <c r="F41" s="34">
        <f>E41*G41</f>
        <v>1422.2719999999999</v>
      </c>
      <c r="G41" s="33">
        <v>1001.6</v>
      </c>
      <c r="H41" s="32" t="s">
        <v>16</v>
      </c>
      <c r="I41" s="33"/>
      <c r="J41" s="33"/>
      <c r="K41" s="18"/>
      <c r="L41" s="18"/>
    </row>
    <row r="42" spans="1:12" ht="18" customHeight="1">
      <c r="A42" s="35"/>
      <c r="B42" s="36" t="s">
        <v>47</v>
      </c>
      <c r="C42" s="35" t="s">
        <v>37</v>
      </c>
      <c r="D42" s="35">
        <f>SUM(D41:D41)</f>
        <v>28</v>
      </c>
      <c r="E42" s="37">
        <v>1.42</v>
      </c>
      <c r="F42" s="38">
        <f>SUM(F41:F41)</f>
        <v>1422.2719999999999</v>
      </c>
      <c r="G42" s="37">
        <f>SUM(G41:G41)</f>
        <v>1001.6</v>
      </c>
      <c r="H42" s="35" t="s">
        <v>16</v>
      </c>
      <c r="I42" s="37">
        <v>12.4</v>
      </c>
      <c r="J42" s="37">
        <v>12419.84</v>
      </c>
      <c r="K42" s="18"/>
      <c r="L42" s="18"/>
    </row>
    <row r="43" spans="1:12" ht="14.25">
      <c r="A43" s="31">
        <v>12</v>
      </c>
      <c r="B43" s="31" t="s">
        <v>62</v>
      </c>
      <c r="C43" s="31" t="s">
        <v>38</v>
      </c>
      <c r="D43" s="32">
        <v>10</v>
      </c>
      <c r="E43" s="33">
        <v>1.42</v>
      </c>
      <c r="F43" s="34">
        <f>E43*G43</f>
        <v>600.94399999999996</v>
      </c>
      <c r="G43" s="33">
        <v>423.2</v>
      </c>
      <c r="H43" s="32" t="s">
        <v>16</v>
      </c>
      <c r="I43" s="33"/>
      <c r="J43" s="33"/>
      <c r="K43" s="18"/>
      <c r="L43" s="18"/>
    </row>
    <row r="44" spans="1:12" ht="18" customHeight="1">
      <c r="A44" s="31">
        <v>13</v>
      </c>
      <c r="B44" s="31" t="s">
        <v>63</v>
      </c>
      <c r="C44" s="31" t="s">
        <v>38</v>
      </c>
      <c r="D44" s="32">
        <v>17</v>
      </c>
      <c r="E44" s="33">
        <v>1.42</v>
      </c>
      <c r="F44" s="34">
        <f>E44*G44</f>
        <v>1025.95</v>
      </c>
      <c r="G44" s="33">
        <v>722.5</v>
      </c>
      <c r="H44" s="32" t="s">
        <v>16</v>
      </c>
      <c r="I44" s="33"/>
      <c r="J44" s="33"/>
      <c r="K44" s="18"/>
      <c r="L44" s="18"/>
    </row>
    <row r="45" spans="1:12" ht="26.65" thickBot="1">
      <c r="A45" s="35"/>
      <c r="B45" s="36" t="s">
        <v>64</v>
      </c>
      <c r="C45" s="35" t="s">
        <v>38</v>
      </c>
      <c r="D45" s="35">
        <f>SUM(D43:D44)</f>
        <v>27</v>
      </c>
      <c r="E45" s="37">
        <v>1.42</v>
      </c>
      <c r="F45" s="38">
        <f>SUM(F43:F44)</f>
        <v>1626.894</v>
      </c>
      <c r="G45" s="37">
        <f>SUM(G43:G44)</f>
        <v>1145.7</v>
      </c>
      <c r="H45" s="35" t="s">
        <v>16</v>
      </c>
      <c r="I45" s="37">
        <v>24.6</v>
      </c>
      <c r="J45" s="37">
        <v>28184.22</v>
      </c>
      <c r="K45" s="18"/>
      <c r="L45" s="18"/>
    </row>
    <row r="46" spans="1:12" ht="31.5" customHeight="1" thickBot="1">
      <c r="A46" s="39" t="s">
        <v>1</v>
      </c>
      <c r="B46" s="40" t="s">
        <v>17</v>
      </c>
      <c r="C46" s="41" t="s">
        <v>1</v>
      </c>
      <c r="D46" s="40">
        <f>D26+D29+D32+D35+D38+D40+D42+D45</f>
        <v>263</v>
      </c>
      <c r="E46" s="42" t="s">
        <v>1</v>
      </c>
      <c r="F46" s="43">
        <f>F26+F29+F32+F35+F38+F40+F42+F45</f>
        <v>16719.409</v>
      </c>
      <c r="G46" s="42">
        <f>G26+G29+G32+G35+G38+G40+G42+G45</f>
        <v>11671.6</v>
      </c>
      <c r="H46" s="40" t="s">
        <v>1</v>
      </c>
      <c r="I46" s="42" t="s">
        <v>1</v>
      </c>
      <c r="J46" s="44">
        <f>SUM(J25:J45)</f>
        <v>188362.5</v>
      </c>
      <c r="K46" s="8"/>
      <c r="L46" s="8" t="s">
        <v>1</v>
      </c>
    </row>
    <row r="48" spans="1:12" ht="15.75">
      <c r="A48" s="15"/>
      <c r="B48" s="15"/>
      <c r="D48" s="2"/>
      <c r="E48" s="3"/>
      <c r="F48" s="8"/>
      <c r="G48" s="17"/>
      <c r="H48" s="17"/>
      <c r="I48" s="17"/>
    </row>
    <row r="49" spans="1:10" ht="15.4">
      <c r="A49" s="15"/>
      <c r="B49" s="15"/>
      <c r="D49" s="2"/>
      <c r="E49" s="3"/>
      <c r="F49" s="1"/>
      <c r="I49" s="8"/>
    </row>
    <row r="50" spans="1:10" ht="15.75">
      <c r="A50" s="15" t="s">
        <v>32</v>
      </c>
      <c r="B50" s="15" t="s">
        <v>33</v>
      </c>
      <c r="D50" s="2"/>
      <c r="E50" s="3"/>
      <c r="F50" s="8" t="s">
        <v>1</v>
      </c>
      <c r="G50" s="45" t="s">
        <v>0</v>
      </c>
      <c r="H50" s="45"/>
      <c r="I50" s="45"/>
      <c r="J50" s="17"/>
    </row>
    <row r="51" spans="1:10" ht="15.4">
      <c r="A51" s="46" t="s">
        <v>34</v>
      </c>
      <c r="B51" s="46"/>
      <c r="D51" s="2"/>
      <c r="E51" s="3"/>
      <c r="F51" s="47" t="s">
        <v>2</v>
      </c>
      <c r="G51" s="47"/>
      <c r="H51" s="47"/>
      <c r="I51" s="47"/>
      <c r="J51" s="30"/>
    </row>
    <row r="52" spans="1:10">
      <c r="D52" s="2"/>
      <c r="E52" s="3"/>
      <c r="F52" s="1"/>
    </row>
    <row r="54" spans="1:10" ht="15.75">
      <c r="A54" s="15" t="s">
        <v>1</v>
      </c>
      <c r="B54" s="15" t="s">
        <v>1</v>
      </c>
      <c r="D54" s="2"/>
      <c r="E54" s="3"/>
      <c r="F54" s="8"/>
      <c r="G54" s="17"/>
      <c r="H54" s="17"/>
      <c r="I54" s="17"/>
    </row>
  </sheetData>
  <mergeCells count="21">
    <mergeCell ref="A12:D12"/>
    <mergeCell ref="F13:G13"/>
    <mergeCell ref="F14:I14"/>
    <mergeCell ref="A21:C21"/>
    <mergeCell ref="A22:C22"/>
    <mergeCell ref="G50:I50"/>
    <mergeCell ref="A51:B51"/>
    <mergeCell ref="F51:I51"/>
    <mergeCell ref="A1:I1"/>
    <mergeCell ref="A2:I2"/>
    <mergeCell ref="A6:I6"/>
    <mergeCell ref="A3:I3"/>
    <mergeCell ref="D4:F4"/>
    <mergeCell ref="A8:C8"/>
    <mergeCell ref="A9:B9"/>
    <mergeCell ref="F9:G9"/>
    <mergeCell ref="F10:I10"/>
    <mergeCell ref="A11:B11"/>
    <mergeCell ref="F11:G11"/>
    <mergeCell ref="A10:C10"/>
    <mergeCell ref="F12:I12"/>
  </mergeCells>
  <hyperlinks>
    <hyperlink ref="D4" r:id="rId1" xr:uid="{00000000-0004-0000-0000-000000000000}"/>
  </hyperlinks>
  <printOptions horizontalCentered="1"/>
  <pageMargins left="0.25" right="0.25" top="0.75" bottom="0.75" header="0.3" footer="0.3"/>
  <pageSetup paperSize="9" scale="90" fitToHeight="0" orientation="portrait" r:id="rId2"/>
  <colBreaks count="1" manualBreakCount="1">
    <brk id="9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Musolina</dc:creator>
  <cp:lastModifiedBy>RDZharinovK</cp:lastModifiedBy>
  <cp:lastPrinted>2025-03-25T09:27:03Z</cp:lastPrinted>
  <dcterms:created xsi:type="dcterms:W3CDTF">2025-02-22T11:24:00Z</dcterms:created>
  <dcterms:modified xsi:type="dcterms:W3CDTF">2026-08-24T08:34:39Z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F367DE6355BE4E73BC09EA6FDCFA5130_12</vt:lpwstr>
  </property>
  <property fmtid="{D5CDD505-2E9C-101B-9397-08002B2CF9AE}" pid="3" name="KSOProductBuildVer">
    <vt:lpwstr>2052-12.1.0.20305</vt:lpwstr>
  </property>
</Properties>
</file>