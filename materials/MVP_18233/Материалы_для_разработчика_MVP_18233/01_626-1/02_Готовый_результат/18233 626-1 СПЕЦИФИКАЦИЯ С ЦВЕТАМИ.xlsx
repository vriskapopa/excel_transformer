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HAZHOU\18233 ЛЮ 626 ТМЛ\"/>
    </mc:Choice>
  </mc:AlternateContent>
  <xr:revisionPtr revIDLastSave="0" documentId="13_ncr:1_{318596CB-A22D-4CDA-A7AA-D75B9D4445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 1" sheetId="4" r:id="rId1"/>
    <sheet name="описание" sheetId="5" r:id="rId2"/>
  </sheets>
  <definedNames>
    <definedName name="_xlnm._FilterDatabase" localSheetId="0" hidden="1">'инвойс 1'!$A$22:$GX$49</definedName>
    <definedName name="_xlnm._FilterDatabase" localSheetId="1" hidden="1">описание!$A$12:$HE$26</definedName>
    <definedName name="_xlnm.Print_Area" localSheetId="0">'инвойс 1'!$B$1:$N$80</definedName>
    <definedName name="_xlnm.Print_Area" localSheetId="1">описание!$A$1:$N$56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5" i="4" l="1"/>
  <c r="Z34" i="4"/>
  <c r="Z33" i="4"/>
  <c r="Z32" i="4"/>
  <c r="Z31" i="4"/>
  <c r="Z30" i="4"/>
  <c r="Z29" i="4"/>
  <c r="Z28" i="4"/>
  <c r="Z27" i="4"/>
  <c r="Z26" i="4"/>
  <c r="Z25" i="4"/>
  <c r="Z24" i="4"/>
  <c r="Z23" i="4"/>
  <c r="N24" i="4" l="1"/>
  <c r="N35" i="4"/>
  <c r="N34" i="4"/>
  <c r="N33" i="4"/>
  <c r="N32" i="4"/>
  <c r="N31" i="4"/>
  <c r="N30" i="4"/>
  <c r="N29" i="4"/>
  <c r="N28" i="4"/>
  <c r="N26" i="4"/>
  <c r="N25" i="4"/>
  <c r="J27" i="4"/>
  <c r="J26" i="4"/>
  <c r="J28" i="4"/>
  <c r="J31" i="4"/>
  <c r="J33" i="4"/>
  <c r="J34" i="4"/>
  <c r="J35" i="4"/>
  <c r="I24" i="4"/>
  <c r="N27" i="4"/>
  <c r="J30" i="4"/>
  <c r="N23" i="4"/>
  <c r="B25" i="5"/>
  <c r="B24" i="5"/>
  <c r="B23" i="5"/>
  <c r="B22" i="5"/>
  <c r="B21" i="5"/>
  <c r="B20" i="5"/>
  <c r="B19" i="5"/>
  <c r="B18" i="5"/>
  <c r="B17" i="5"/>
  <c r="B16" i="5"/>
  <c r="B15" i="5"/>
  <c r="B14" i="5"/>
  <c r="I35" i="4"/>
  <c r="I34" i="4"/>
  <c r="I33" i="4"/>
  <c r="I32" i="4"/>
  <c r="I31" i="4"/>
  <c r="I30" i="4"/>
  <c r="I29" i="4"/>
  <c r="I28" i="4"/>
  <c r="I27" i="4"/>
  <c r="I26" i="4"/>
  <c r="I25" i="4"/>
  <c r="L34" i="4"/>
  <c r="Q13" i="5"/>
  <c r="R13" i="5" s="1"/>
  <c r="I13" i="5"/>
  <c r="B13" i="5"/>
  <c r="Q19" i="5"/>
  <c r="R19" i="5" s="1"/>
  <c r="I19" i="5"/>
  <c r="Q16" i="5"/>
  <c r="R16" i="5" s="1"/>
  <c r="I16" i="5"/>
  <c r="Q24" i="5"/>
  <c r="R24" i="5" s="1"/>
  <c r="I24" i="5"/>
  <c r="M25" i="4"/>
  <c r="L25" i="4"/>
  <c r="K25" i="4"/>
  <c r="J25" i="4"/>
  <c r="H25" i="4"/>
  <c r="G25" i="4"/>
  <c r="G15" i="5" s="1"/>
  <c r="F25" i="4"/>
  <c r="F15" i="5" s="1"/>
  <c r="E25" i="4"/>
  <c r="E15" i="5" s="1"/>
  <c r="D25" i="4"/>
  <c r="D15" i="5" s="1"/>
  <c r="C25" i="4"/>
  <c r="M24" i="4"/>
  <c r="L24" i="4"/>
  <c r="K24" i="4"/>
  <c r="J24" i="4"/>
  <c r="H24" i="4"/>
  <c r="G24" i="4"/>
  <c r="G14" i="5" s="1"/>
  <c r="F24" i="4"/>
  <c r="F14" i="5" s="1"/>
  <c r="E24" i="4"/>
  <c r="E14" i="5" s="1"/>
  <c r="D24" i="4"/>
  <c r="D14" i="5" s="1"/>
  <c r="C24" i="4"/>
  <c r="M23" i="4"/>
  <c r="L23" i="4"/>
  <c r="K23" i="4"/>
  <c r="J23" i="4"/>
  <c r="I23" i="4"/>
  <c r="H23" i="4"/>
  <c r="G23" i="4"/>
  <c r="G13" i="5" s="1"/>
  <c r="F23" i="4"/>
  <c r="F13" i="5" s="1"/>
  <c r="E23" i="4"/>
  <c r="E13" i="5" s="1"/>
  <c r="D23" i="4"/>
  <c r="D13" i="5" s="1"/>
  <c r="C23" i="4"/>
  <c r="M33" i="4"/>
  <c r="L33" i="4"/>
  <c r="K33" i="4"/>
  <c r="H33" i="4"/>
  <c r="G33" i="4"/>
  <c r="G23" i="5" s="1"/>
  <c r="F33" i="4"/>
  <c r="F23" i="5" s="1"/>
  <c r="E33" i="4"/>
  <c r="E23" i="5" s="1"/>
  <c r="D33" i="4"/>
  <c r="D23" i="5" s="1"/>
  <c r="C33" i="4"/>
  <c r="M32" i="4"/>
  <c r="L32" i="4"/>
  <c r="K32" i="4"/>
  <c r="J32" i="4"/>
  <c r="H32" i="4"/>
  <c r="G32" i="4"/>
  <c r="G22" i="5" s="1"/>
  <c r="F32" i="4"/>
  <c r="F22" i="5" s="1"/>
  <c r="E32" i="4"/>
  <c r="E22" i="5" s="1"/>
  <c r="D32" i="4"/>
  <c r="D22" i="5" s="1"/>
  <c r="C32" i="4"/>
  <c r="M31" i="4"/>
  <c r="L31" i="4"/>
  <c r="K31" i="4"/>
  <c r="H31" i="4"/>
  <c r="G31" i="4"/>
  <c r="G21" i="5" s="1"/>
  <c r="F31" i="4"/>
  <c r="F21" i="5" s="1"/>
  <c r="E31" i="4"/>
  <c r="E21" i="5" s="1"/>
  <c r="D31" i="4"/>
  <c r="D21" i="5" s="1"/>
  <c r="C31" i="4"/>
  <c r="M30" i="4"/>
  <c r="L30" i="4"/>
  <c r="K30" i="4"/>
  <c r="H30" i="4"/>
  <c r="G30" i="4"/>
  <c r="G20" i="5" s="1"/>
  <c r="F30" i="4"/>
  <c r="F20" i="5" s="1"/>
  <c r="E30" i="4"/>
  <c r="E20" i="5" s="1"/>
  <c r="D30" i="4"/>
  <c r="D20" i="5" s="1"/>
  <c r="C30" i="4"/>
  <c r="M29" i="4"/>
  <c r="L29" i="4"/>
  <c r="K29" i="4"/>
  <c r="J29" i="4"/>
  <c r="H29" i="4"/>
  <c r="G29" i="4"/>
  <c r="G19" i="5" s="1"/>
  <c r="F29" i="4"/>
  <c r="F19" i="5" s="1"/>
  <c r="E29" i="4"/>
  <c r="E19" i="5" s="1"/>
  <c r="D29" i="4"/>
  <c r="D19" i="5" s="1"/>
  <c r="C29" i="4"/>
  <c r="M28" i="4"/>
  <c r="L28" i="4"/>
  <c r="K28" i="4"/>
  <c r="H28" i="4"/>
  <c r="G28" i="4"/>
  <c r="G18" i="5" s="1"/>
  <c r="F28" i="4"/>
  <c r="F18" i="5" s="1"/>
  <c r="E28" i="4"/>
  <c r="E18" i="5" s="1"/>
  <c r="D28" i="4"/>
  <c r="D18" i="5" s="1"/>
  <c r="C28" i="4"/>
  <c r="M27" i="4"/>
  <c r="L27" i="4"/>
  <c r="K27" i="4"/>
  <c r="H27" i="4"/>
  <c r="G27" i="4"/>
  <c r="G17" i="5" s="1"/>
  <c r="F27" i="4"/>
  <c r="F17" i="5" s="1"/>
  <c r="E27" i="4"/>
  <c r="E17" i="5" s="1"/>
  <c r="D27" i="4"/>
  <c r="D17" i="5" s="1"/>
  <c r="C27" i="4"/>
  <c r="M26" i="4"/>
  <c r="L26" i="4"/>
  <c r="K26" i="4"/>
  <c r="H26" i="4"/>
  <c r="G26" i="4"/>
  <c r="G16" i="5" s="1"/>
  <c r="F26" i="4"/>
  <c r="F16" i="5" s="1"/>
  <c r="E26" i="4"/>
  <c r="E16" i="5" s="1"/>
  <c r="D26" i="4"/>
  <c r="D16" i="5" s="1"/>
  <c r="C26" i="4"/>
  <c r="M35" i="4"/>
  <c r="L35" i="4"/>
  <c r="K35" i="4"/>
  <c r="H35" i="4"/>
  <c r="G35" i="4"/>
  <c r="G25" i="5" s="1"/>
  <c r="F35" i="4"/>
  <c r="F25" i="5" s="1"/>
  <c r="E35" i="4"/>
  <c r="E25" i="5" s="1"/>
  <c r="D35" i="4"/>
  <c r="D25" i="5" s="1"/>
  <c r="C35" i="4"/>
  <c r="M34" i="4"/>
  <c r="K34" i="4"/>
  <c r="H34" i="4"/>
  <c r="G34" i="4"/>
  <c r="G24" i="5" s="1"/>
  <c r="F34" i="4"/>
  <c r="F24" i="5" s="1"/>
  <c r="E34" i="4"/>
  <c r="E24" i="5" s="1"/>
  <c r="D34" i="4"/>
  <c r="D24" i="5" s="1"/>
  <c r="C34" i="4"/>
  <c r="B5" i="5"/>
  <c r="B7" i="4"/>
  <c r="C36" i="4" l="1"/>
  <c r="J36" i="4"/>
  <c r="N36" i="4"/>
  <c r="H36" i="4"/>
  <c r="L36" i="4"/>
  <c r="K36" i="4"/>
</calcChain>
</file>

<file path=xl/sharedStrings.xml><?xml version="1.0" encoding="utf-8"?>
<sst xmlns="http://schemas.openxmlformats.org/spreadsheetml/2006/main" count="265" uniqueCount="135">
  <si>
    <t>杭 州 中 纺 进 出 口 有 限 公 司</t>
  </si>
  <si>
    <t>HANGZHOU ZHONGFANG TEXTILE IMP./EXP. CO., LTD.</t>
  </si>
  <si>
    <t>№</t>
  </si>
  <si>
    <t xml:space="preserve">www.zhongfanghz.cn </t>
  </si>
  <si>
    <t>Buyer/Покупатель:</t>
  </si>
  <si>
    <t>Seller / Продавец:</t>
  </si>
  <si>
    <t>“SM REGIONTEKSTIL'” LLC / “СМ Регионтекстиль” ООО</t>
  </si>
  <si>
    <t>Address/Адрес:</t>
  </si>
  <si>
    <t>Terms of payment/Условия оплаты: 100% payment during 120 days after shipment / 100% оплата в течении 120 дней со дня поставки.</t>
  </si>
  <si>
    <t>Product name / Наименование товара</t>
  </si>
  <si>
    <t>HS code / Код гармонизированной системы</t>
  </si>
  <si>
    <t>Customs code / Таможенный код</t>
  </si>
  <si>
    <t>Q-ty meters / Кол-во погонных метров</t>
  </si>
  <si>
    <t>Widht, m / Ширина, м</t>
  </si>
  <si>
    <t>N.W, kg / Вес Нетто, кг</t>
  </si>
  <si>
    <t>G.W, kg / Вес Брутто, кг</t>
  </si>
  <si>
    <t>Продавец:</t>
  </si>
  <si>
    <t>Seller:</t>
  </si>
  <si>
    <t>HANGZHOU ZHONGFANG TEXTILE IMP./EXP. CO., LTD</t>
  </si>
  <si>
    <t>Адрес:NO.756-2,RENMIN AVENUE,NANYUAN STREET,YUHANG DISTRICT,</t>
  </si>
  <si>
    <t>Address:NO.756-2,RENMIN AVENUE,NANYUAN STREET,YUHANG DISTRICT,</t>
  </si>
  <si>
    <t>HANGZHOU, ZHEJIANG PROVINCE CHINA</t>
  </si>
  <si>
    <t>Warehouse address:West 1/F Bld 3, No. 503 Shunfeng Road, Qianjiang Economic Development Zone, Yuhang District, Hangzhou, Zhejiang Province, China</t>
  </si>
  <si>
    <t>Телефон: +86-571-86255881</t>
  </si>
  <si>
    <t>Tel.: +86-571-86255881</t>
  </si>
  <si>
    <t>Вебсайт:http://www.zhongfanghz.cn/</t>
  </si>
  <si>
    <t>Website:http://www.zhongfanghz.cn/</t>
  </si>
  <si>
    <t>E-mail: liuzhihui@zhongfanghz.cn</t>
  </si>
  <si>
    <t>Email: liuzhihui@zhongfanghz.cn</t>
  </si>
  <si>
    <t>Bank details:</t>
  </si>
  <si>
    <t>Beneficiary: Hangzhou Zhongfang Textile Imp./Exp. Co., Ltd</t>
  </si>
  <si>
    <r>
      <t xml:space="preserve"> Address</t>
    </r>
    <r>
      <rPr>
        <sz val="10"/>
        <rFont val="SimSun"/>
      </rPr>
      <t>：</t>
    </r>
    <r>
      <rPr>
        <sz val="10"/>
        <rFont val="Arial"/>
        <family val="2"/>
        <charset val="204"/>
      </rPr>
      <t>NO.756-2, Renmin Avenue, Nanyuan Street, Yuhang District, Hangzhou, Zhejiang Province, China</t>
    </r>
  </si>
  <si>
    <t xml:space="preserve"> Address：NO.756-2, Renmin Avenue, Nanyuan Street, Yuhang District, Hangzhou, Zhejiang Province, China</t>
  </si>
  <si>
    <t xml:space="preserve">Tel:+86-571-86255882 Fax:+86-571-86255883 </t>
  </si>
  <si>
    <t>Account NO.380558366332</t>
  </si>
  <si>
    <t xml:space="preserve"> Intermediary Bank: Bank of China, New York Branch (ABA NO: 326) (Swift: BKCHUS33)</t>
  </si>
  <si>
    <t xml:space="preserve">Account (UID 220613) </t>
  </si>
  <si>
    <t>Beneficiary's Bank: (L/C Advising Bank) Bank of China, Zhejiang Branch</t>
  </si>
  <si>
    <t>321 Fengqi Road, Hangzhou , Zhejiang 310006 P.R. China</t>
  </si>
  <si>
    <t>(Attn: Yuhang Sub-Branch) Swift: BKCHCNBJ910</t>
  </si>
  <si>
    <r>
      <t>Высший руководитель_________________</t>
    </r>
    <r>
      <rPr>
        <b/>
        <sz val="10"/>
        <rFont val="Arial"/>
        <family val="2"/>
        <charset val="204"/>
      </rPr>
      <t>Liu Zhihui</t>
    </r>
  </si>
  <si>
    <r>
      <t>Top manager______________________</t>
    </r>
    <r>
      <rPr>
        <b/>
        <sz val="10"/>
        <rFont val="Arial"/>
        <family val="2"/>
        <charset val="204"/>
      </rPr>
      <t>Liu Zhihui</t>
    </r>
  </si>
  <si>
    <t>Покупатель:</t>
  </si>
  <si>
    <t>Buyer:</t>
  </si>
  <si>
    <t>OOO “СМ Регионтекстиль”</t>
  </si>
  <si>
    <r>
      <t>“SM REGIONTEKSTIL'</t>
    </r>
    <r>
      <rPr>
        <b/>
        <sz val="10"/>
        <rFont val="Arial"/>
        <family val="2"/>
        <charset val="204"/>
      </rPr>
      <t>” LLC</t>
    </r>
  </si>
  <si>
    <t>ОГРН 1175024014472</t>
  </si>
  <si>
    <t>OGRN 1175024014472</t>
  </si>
  <si>
    <t>ИНН 5032281280</t>
  </si>
  <si>
    <t>TIN 5032281280</t>
  </si>
  <si>
    <t>Банковские реквизиты:</t>
  </si>
  <si>
    <t>Название банка: АО «АЛЬФА-БАНК», г. Москва</t>
  </si>
  <si>
    <t>Bank name: JSC “ALFA-BANK“, Moscow</t>
  </si>
  <si>
    <t>БИК 044525593</t>
  </si>
  <si>
    <t>BIC 044525593</t>
  </si>
  <si>
    <t>к/с 30101810200000000593</t>
  </si>
  <si>
    <t xml:space="preserve">Corr. Acc. 30101810200000000593 </t>
  </si>
  <si>
    <t>р/с 40702810502200008253</t>
  </si>
  <si>
    <t>Current account  40702810502200008253</t>
  </si>
  <si>
    <t>Beneficiary's name: OOO 'SM REGIONTEKSTIL'</t>
  </si>
  <si>
    <t>Beneficiary's address: PETROVSKII PROEZD, D. VL2, C. S2 ET4 MOSKOVSKAYA, RUSSIA</t>
  </si>
  <si>
    <t>Beneficiary acc. No: 40702840202200002189</t>
  </si>
  <si>
    <t>SWIFT: ALFARUMM</t>
  </si>
  <si>
    <t>Beneficiary's bank : AO «ALFA-BANK»</t>
  </si>
  <si>
    <t>Beneficiary's bank address: 27 Kalanchevskaya str., Moscow, 107078</t>
  </si>
  <si>
    <t>Total price, Y / Цена, Юань</t>
  </si>
  <si>
    <t>Art./Артикул</t>
  </si>
  <si>
    <r>
      <t>Contract</t>
    </r>
    <r>
      <rPr>
        <sz val="12"/>
        <rFont val="Times New Roman"/>
        <family val="1"/>
        <charset val="204"/>
      </rPr>
      <t>/Контракт №：SM-LU2 dated 23.11.2018</t>
    </r>
  </si>
  <si>
    <t>Price per meter ￥/ Цена за пог. метр, Юань</t>
  </si>
  <si>
    <r>
      <t>Q-ty m</t>
    </r>
    <r>
      <rPr>
        <b/>
        <vertAlign val="superscript"/>
        <sz val="9"/>
        <rFont val="Arial"/>
        <family val="2"/>
        <charset val="134"/>
      </rPr>
      <t>2</t>
    </r>
    <r>
      <rPr>
        <b/>
        <sz val="9"/>
        <rFont val="Arial"/>
        <family val="2"/>
        <charset val="134"/>
      </rPr>
      <t xml:space="preserve"> / Кол-во кв.м</t>
    </r>
  </si>
  <si>
    <r>
      <t>Total</t>
    </r>
    <r>
      <rPr>
        <b/>
        <sz val="9"/>
        <rFont val="Arial"/>
        <family val="2"/>
        <charset val="204"/>
      </rPr>
      <t>/Итого:</t>
    </r>
  </si>
  <si>
    <t>Генеральный директор______________ Величко И.В.</t>
  </si>
  <si>
    <t>General director ___________________Velichko I.V.</t>
  </si>
  <si>
    <t>NO.756-2,RENMIN AVENUE,NANYUAN STREET, LINPING DISTRICT,HANGZHOU, ZHEJIANG PROVINCE CHINA, tel: +86-571-86255881, E-mail: liuzhihui@zhongfanghz.cn</t>
  </si>
  <si>
    <t>Terms of delivery/Условия поставки: EXW Hangzhou, China / EXW Hangzhou, Китай</t>
  </si>
  <si>
    <t>Q-Ty Rolls /  Кол-во рулонов.</t>
  </si>
  <si>
    <t>КИТАЙ</t>
  </si>
  <si>
    <t xml:space="preserve">HANGZHOU ZHONGFANG TEXTILE IMP/EXP.CO.,LTD    </t>
  </si>
  <si>
    <t>Q-Ty Rolls /  Кол-во рулонов</t>
  </si>
  <si>
    <t>дизайн</t>
  </si>
  <si>
    <t>тнвэд</t>
  </si>
  <si>
    <t>рол</t>
  </si>
  <si>
    <t>ширина рол</t>
  </si>
  <si>
    <t>итого м2</t>
  </si>
  <si>
    <t>метры пог</t>
  </si>
  <si>
    <t>Адрес склада:West 1/F Bld 3, No. 503 Shunfeng Road, Qianjiang Economic Development Zone, Yuhang District, Hangzhou,  Zhejiang Province, China</t>
  </si>
  <si>
    <t>нет</t>
  </si>
  <si>
    <t>гросс</t>
  </si>
  <si>
    <t>тотал</t>
  </si>
  <si>
    <t>цена за м</t>
  </si>
  <si>
    <t>ТМ</t>
  </si>
  <si>
    <t>01402</t>
  </si>
  <si>
    <t>инв номер:</t>
  </si>
  <si>
    <t>дата:</t>
  </si>
  <si>
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</si>
  <si>
    <t>ЕАЭС N RU Д-CN.РА01.В.33115/23</t>
  </si>
  <si>
    <t>Адрес склада:West 1/F Bld 3, No. 503 Shunfeng Road, Qianjiang Economic Development Zone, Yuhang District, Hangzhou, Zhejiang Province, China</t>
  </si>
  <si>
    <t>6001920000</t>
  </si>
  <si>
    <t>Manufactor / Производитель:</t>
  </si>
  <si>
    <t>Manufactor and Seller / Производитель и Продавец:</t>
  </si>
  <si>
    <t>143421 Moscow region, city of Krasnogorsk, 21st kilometer of Baltiya highway, comp. 2, bld. 1, prem. 1, OGRN 1175024014472, TIN 5032281280, KPP 502401001</t>
  </si>
  <si>
    <t xml:space="preserve">143421, МОСКОВСКАЯ ОБЛАСТЬ, Г.О. КРАСНОГОРСК, ТЕР. АВТОДОРОГА БАЛТИЯ, КМ 21-Й, Д. 2, СТР. 1, ПОМЕЩ. 1, ОГРН 1175024014472, ИНН 5032281280, КПП 502401001
</t>
  </si>
  <si>
    <t>Адрес месторасположения и почтовый адрес: 143421, МОСКОВСКАЯ ОБЛАСТЬ, Г.О. КРАСНОГОРСК, ТЕР. АВТОДОРОГА БАЛТИЯ, КМ 21-Й, Д. 2, СТР. 1, ПОМЕЩ. 1</t>
  </si>
  <si>
    <t>КПП     502401001</t>
  </si>
  <si>
    <t>Address of location and post address: 143421 Moscow region, city of Krasnogorsk, 21st kilometer of Baltiya highway, comp. 2, bld. 1, prem. 1</t>
  </si>
  <si>
    <t>KPP 502401001</t>
  </si>
  <si>
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</si>
  <si>
    <t>5407610000</t>
  </si>
  <si>
    <t>5801360000</t>
  </si>
  <si>
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</si>
  <si>
    <t>ЕАЭС N RU Д-CN.РА01.В.33381/23</t>
  </si>
  <si>
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</si>
  <si>
    <t>5801330000</t>
  </si>
  <si>
    <t>ЕАЭС N RU Д-CN.РА02.В.67501/25</t>
  </si>
  <si>
    <t>Danco 297</t>
  </si>
  <si>
    <t>Solo 992</t>
  </si>
  <si>
    <t>Danco 100</t>
  </si>
  <si>
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</si>
  <si>
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</si>
  <si>
    <t>Upholstery fabric, chenille,  made from: polyester - 100%. Ткань мебельная обивочная ворсовая из химических синельных нитей, состав: 100% полиэстер</t>
  </si>
  <si>
    <t>Aug.19,2026</t>
  </si>
  <si>
    <t>ZFRMB26148-626-1</t>
  </si>
  <si>
    <t>Delivery date/Сроки поставки: not later than/не позднее 19.09.2026</t>
  </si>
  <si>
    <t>Melange 928</t>
  </si>
  <si>
    <t>5407530000</t>
  </si>
  <si>
    <t>Noble 110</t>
  </si>
  <si>
    <t>Noble 624</t>
  </si>
  <si>
    <t>Omega 03</t>
  </si>
  <si>
    <t>Omega 62</t>
  </si>
  <si>
    <t>Solo 794</t>
  </si>
  <si>
    <t>Oscar 978</t>
  </si>
  <si>
    <t>Umbra 110</t>
  </si>
  <si>
    <t>Lambre 402</t>
  </si>
  <si>
    <t>Lambre 740</t>
  </si>
  <si>
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</si>
</sst>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DBNum2][$-804]General"/>
    <numFmt numFmtId="165" formatCode="0.00_);[Red]\(0.00\)"/>
    <numFmt numFmtId="166" formatCode="0.000_ "/>
    <numFmt numFmtId="167" formatCode="0.00_ "/>
    <numFmt numFmtId="168" formatCode="0_);[Red]\(0\)"/>
    <numFmt numFmtId="169" formatCode="0.000;[Red]0.000"/>
    <numFmt numFmtId="170" formatCode="0.00000"/>
    <numFmt numFmtId="171" formatCode="0.000"/>
    <numFmt numFmtId="172" formatCode="#,##0.00\ _₽"/>
    <numFmt numFmtId="173" formatCode="#,##0.0000"/>
  </numFmts>
  <fonts count="51">
    <font>
      <sz val="12"/>
      <name val="宋体"/>
      <charset val="134"/>
    </font>
    <font>
      <sz val="10"/>
      <name val="Arial"/>
      <family val="2"/>
    </font>
    <font>
      <b/>
      <sz val="10"/>
      <name val="Arial"/>
      <family val="2"/>
    </font>
    <font>
      <b/>
      <sz val="20"/>
      <name val="宋体"/>
      <charset val="134"/>
    </font>
    <font>
      <u/>
      <sz val="12"/>
      <color indexed="12"/>
      <name val="宋体"/>
      <charset val="134"/>
    </font>
    <font>
      <sz val="10"/>
      <name val="Arial Cyr"/>
      <charset val="134"/>
    </font>
    <font>
      <sz val="12"/>
      <name val="宋体"/>
      <charset val="134"/>
    </font>
    <font>
      <b/>
      <sz val="10"/>
      <name val="Arial"/>
      <family val="2"/>
      <charset val="134"/>
    </font>
    <font>
      <sz val="10"/>
      <name val="Arial"/>
      <family val="2"/>
      <charset val="134"/>
    </font>
    <font>
      <sz val="14"/>
      <name val="Times New Roman"/>
      <family val="1"/>
      <charset val="134"/>
    </font>
    <font>
      <sz val="11"/>
      <name val="Times New Roman"/>
      <family val="1"/>
      <charset val="204"/>
    </font>
    <font>
      <b/>
      <u/>
      <sz val="26"/>
      <name val="Times New Roman"/>
      <family val="1"/>
      <charset val="134"/>
    </font>
    <font>
      <u/>
      <sz val="11"/>
      <name val="宋体"/>
      <charset val="134"/>
    </font>
    <font>
      <u/>
      <sz val="11"/>
      <name val="Arial"/>
      <family val="2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134"/>
    </font>
    <font>
      <sz val="24"/>
      <name val="宋体"/>
      <charset val="134"/>
    </font>
    <font>
      <sz val="24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SimSun"/>
    </font>
    <font>
      <b/>
      <sz val="9"/>
      <name val="Arial"/>
      <family val="2"/>
      <charset val="134"/>
    </font>
    <font>
      <b/>
      <vertAlign val="superscript"/>
      <sz val="9"/>
      <name val="Arial"/>
      <family val="2"/>
      <charset val="134"/>
    </font>
    <font>
      <sz val="9"/>
      <name val="Arial"/>
      <family val="2"/>
      <charset val="134"/>
    </font>
    <font>
      <sz val="9"/>
      <name val="Arial"/>
      <family val="2"/>
    </font>
    <font>
      <b/>
      <sz val="9"/>
      <name val="Arial"/>
      <family val="2"/>
      <charset val="204"/>
    </font>
    <font>
      <sz val="10"/>
      <name val="Times New Roman"/>
      <family val="1"/>
      <charset val="204"/>
    </font>
    <font>
      <b/>
      <u/>
      <sz val="18"/>
      <name val="Times New Roman"/>
      <family val="1"/>
      <charset val="134"/>
    </font>
    <font>
      <sz val="8"/>
      <name val="Arial"/>
      <family val="2"/>
    </font>
    <font>
      <sz val="10"/>
      <name val="Times New Roman"/>
      <family val="1"/>
      <charset val="204"/>
    </font>
    <font>
      <sz val="11"/>
      <color theme="1"/>
      <name val="宋体"/>
      <charset val="134"/>
    </font>
    <font>
      <sz val="11"/>
      <color theme="1"/>
      <name val="宋体"/>
      <family val="2"/>
    </font>
    <font>
      <sz val="11"/>
      <color theme="1"/>
      <name val="宋体"/>
      <family val="3"/>
      <charset val="134"/>
    </font>
    <font>
      <u/>
      <sz val="11"/>
      <color theme="10"/>
      <name val="宋体"/>
      <charset val="134"/>
    </font>
    <font>
      <u/>
      <sz val="11"/>
      <color rgb="FF0000FF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color indexed="63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 applyBorder="0"/>
    <xf numFmtId="0" fontId="1" fillId="0" borderId="0" applyBorder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center"/>
    </xf>
    <xf numFmtId="0" fontId="5" fillId="0" borderId="0" applyProtection="0"/>
    <xf numFmtId="0" fontId="35" fillId="0" borderId="0"/>
    <xf numFmtId="0" fontId="36" fillId="0" borderId="0"/>
    <xf numFmtId="0" fontId="35" fillId="0" borderId="0">
      <alignment vertical="center"/>
    </xf>
    <xf numFmtId="0" fontId="35" fillId="0" borderId="0"/>
    <xf numFmtId="0" fontId="40" fillId="0" borderId="0"/>
    <xf numFmtId="164" fontId="6" fillId="0" borderId="0">
      <alignment vertical="center"/>
    </xf>
    <xf numFmtId="0" fontId="6" fillId="0" borderId="0"/>
    <xf numFmtId="0" fontId="6" fillId="0" borderId="0" applyBorder="0"/>
    <xf numFmtId="0" fontId="6" fillId="0" borderId="0"/>
    <xf numFmtId="0" fontId="6" fillId="0" borderId="0"/>
    <xf numFmtId="0" fontId="41" fillId="0" borderId="0">
      <alignment vertical="center"/>
    </xf>
  </cellStyleXfs>
  <cellXfs count="19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/>
    <xf numFmtId="0" fontId="10" fillId="0" borderId="0" xfId="3" applyFont="1" applyAlignment="1">
      <alignment horizontal="center" vertical="center" wrapText="1"/>
    </xf>
    <xf numFmtId="0" fontId="11" fillId="0" borderId="0" xfId="0" applyFont="1" applyBorder="1" applyAlignment="1">
      <alignment horizontal="center" wrapText="1"/>
    </xf>
    <xf numFmtId="0" fontId="0" fillId="0" borderId="0" xfId="0" applyBorder="1"/>
    <xf numFmtId="0" fontId="12" fillId="0" borderId="0" xfId="7" applyFont="1" applyFill="1" applyBorder="1" applyAlignment="1" applyProtection="1">
      <alignment horizontal="center" wrapText="1"/>
    </xf>
    <xf numFmtId="0" fontId="13" fillId="0" borderId="0" xfId="7" applyFont="1" applyFill="1" applyBorder="1" applyAlignment="1" applyProtection="1">
      <alignment horizontal="center" wrapText="1"/>
    </xf>
    <xf numFmtId="0" fontId="14" fillId="0" borderId="0" xfId="3" applyFont="1" applyAlignment="1">
      <alignment vertical="center"/>
    </xf>
    <xf numFmtId="0" fontId="16" fillId="0" borderId="0" xfId="0" applyFont="1" applyBorder="1" applyAlignment="1">
      <alignment horizontal="left"/>
    </xf>
    <xf numFmtId="2" fontId="12" fillId="0" borderId="0" xfId="7" applyNumberFormat="1" applyFont="1" applyFill="1" applyBorder="1" applyAlignment="1" applyProtection="1">
      <alignment horizontal="center" wrapText="1"/>
    </xf>
    <xf numFmtId="0" fontId="14" fillId="0" borderId="0" xfId="3" applyFont="1" applyAlignment="1">
      <alignment vertical="top"/>
    </xf>
    <xf numFmtId="0" fontId="17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10" fillId="0" borderId="0" xfId="3" applyFont="1" applyAlignment="1">
      <alignment vertical="top"/>
    </xf>
    <xf numFmtId="0" fontId="10" fillId="0" borderId="0" xfId="3" applyFont="1" applyAlignment="1">
      <alignment vertical="top" wrapText="1"/>
    </xf>
    <xf numFmtId="0" fontId="20" fillId="0" borderId="0" xfId="3" applyFont="1" applyAlignment="1">
      <alignment horizontal="center" vertical="top" wrapText="1"/>
    </xf>
    <xf numFmtId="0" fontId="2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top" wrapText="1"/>
    </xf>
    <xf numFmtId="0" fontId="20" fillId="0" borderId="0" xfId="3" applyFont="1" applyAlignment="1">
      <alignment horizontal="center" vertical="top"/>
    </xf>
    <xf numFmtId="0" fontId="20" fillId="0" borderId="0" xfId="3" applyFont="1" applyAlignment="1">
      <alignment vertical="top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/>
    </xf>
    <xf numFmtId="165" fontId="9" fillId="0" borderId="0" xfId="0" applyNumberFormat="1" applyFont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center" vertical="top" wrapText="1"/>
    </xf>
    <xf numFmtId="0" fontId="12" fillId="0" borderId="0" xfId="7" applyFont="1" applyFill="1" applyAlignment="1" applyProtection="1">
      <alignment horizontal="center" vertical="top" wrapText="1"/>
    </xf>
    <xf numFmtId="0" fontId="22" fillId="0" borderId="0" xfId="0" applyFont="1" applyAlignment="1">
      <alignment vertical="top" wrapText="1"/>
    </xf>
    <xf numFmtId="165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2" fontId="1" fillId="0" borderId="0" xfId="0" applyNumberFormat="1" applyFont="1" applyAlignment="1">
      <alignment horizontal="center" vertical="center"/>
    </xf>
    <xf numFmtId="0" fontId="11" fillId="0" borderId="0" xfId="0" applyFont="1" applyBorder="1" applyAlignment="1">
      <alignment vertical="top" wrapText="1"/>
    </xf>
    <xf numFmtId="0" fontId="12" fillId="0" borderId="0" xfId="7" applyFont="1" applyFill="1" applyBorder="1" applyAlignment="1" applyProtection="1">
      <alignment vertical="top" wrapText="1"/>
    </xf>
    <xf numFmtId="0" fontId="14" fillId="0" borderId="0" xfId="3" applyFont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2" fontId="10" fillId="0" borderId="0" xfId="3" applyNumberFormat="1" applyFont="1" applyAlignment="1">
      <alignment horizontal="center" vertical="center" wrapText="1"/>
    </xf>
    <xf numFmtId="2" fontId="11" fillId="0" borderId="0" xfId="0" applyNumberFormat="1" applyFont="1" applyBorder="1" applyAlignment="1">
      <alignment horizontal="center" wrapText="1"/>
    </xf>
    <xf numFmtId="2" fontId="8" fillId="0" borderId="0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71" fontId="9" fillId="0" borderId="0" xfId="0" applyNumberFormat="1" applyFont="1" applyBorder="1" applyAlignment="1">
      <alignment horizontal="center"/>
    </xf>
    <xf numFmtId="171" fontId="10" fillId="0" borderId="0" xfId="3" applyNumberFormat="1" applyFont="1" applyAlignment="1">
      <alignment horizontal="center" vertical="center" wrapText="1"/>
    </xf>
    <xf numFmtId="171" fontId="16" fillId="0" borderId="0" xfId="0" applyNumberFormat="1" applyFont="1" applyBorder="1" applyAlignment="1">
      <alignment horizontal="left"/>
    </xf>
    <xf numFmtId="171" fontId="11" fillId="0" borderId="0" xfId="0" applyNumberFormat="1" applyFont="1" applyBorder="1" applyAlignment="1">
      <alignment horizontal="center" wrapText="1"/>
    </xf>
    <xf numFmtId="171" fontId="0" fillId="0" borderId="0" xfId="0" applyNumberFormat="1" applyBorder="1"/>
    <xf numFmtId="171" fontId="12" fillId="0" borderId="0" xfId="7" applyNumberFormat="1" applyFont="1" applyFill="1" applyBorder="1" applyAlignment="1" applyProtection="1">
      <alignment horizontal="center" wrapText="1"/>
    </xf>
    <xf numFmtId="171" fontId="0" fillId="0" borderId="0" xfId="0" applyNumberFormat="1"/>
    <xf numFmtId="171" fontId="8" fillId="0" borderId="0" xfId="0" applyNumberFormat="1" applyFont="1" applyBorder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vertical="center"/>
    </xf>
    <xf numFmtId="171" fontId="1" fillId="0" borderId="0" xfId="0" applyNumberFormat="1" applyFont="1" applyAlignment="1">
      <alignment horizontal="center" vertical="center"/>
    </xf>
    <xf numFmtId="172" fontId="10" fillId="0" borderId="0" xfId="3" applyNumberFormat="1" applyFont="1" applyAlignment="1">
      <alignment horizontal="center" vertical="center" wrapText="1"/>
    </xf>
    <xf numFmtId="172" fontId="11" fillId="0" borderId="0" xfId="0" applyNumberFormat="1" applyFont="1" applyBorder="1" applyAlignment="1">
      <alignment horizontal="center" wrapText="1"/>
    </xf>
    <xf numFmtId="172" fontId="13" fillId="0" borderId="0" xfId="7" applyNumberFormat="1" applyFont="1" applyFill="1" applyBorder="1" applyAlignment="1" applyProtection="1">
      <alignment horizontal="center" wrapText="1"/>
    </xf>
    <xf numFmtId="172" fontId="21" fillId="0" borderId="0" xfId="0" applyNumberFormat="1" applyFont="1" applyBorder="1" applyAlignment="1">
      <alignment horizontal="center"/>
    </xf>
    <xf numFmtId="172" fontId="8" fillId="0" borderId="0" xfId="0" applyNumberFormat="1" applyFont="1" applyBorder="1" applyAlignment="1">
      <alignment horizontal="center" vertical="center"/>
    </xf>
    <xf numFmtId="172" fontId="8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vertical="center"/>
    </xf>
    <xf numFmtId="172" fontId="1" fillId="0" borderId="0" xfId="0" applyNumberFormat="1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166" fontId="26" fillId="0" borderId="1" xfId="0" applyNumberFormat="1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2" fontId="26" fillId="0" borderId="2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0" fontId="29" fillId="0" borderId="0" xfId="0" applyNumberFormat="1" applyFont="1" applyAlignment="1">
      <alignment horizontal="center" vertical="center"/>
    </xf>
    <xf numFmtId="169" fontId="28" fillId="0" borderId="1" xfId="0" applyNumberFormat="1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67" fontId="42" fillId="0" borderId="1" xfId="2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171" fontId="1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3" fillId="0" borderId="1" xfId="0" applyFont="1" applyBorder="1" applyAlignment="1">
      <alignment horizontal="center" vertical="center" wrapText="1" shrinkToFit="1"/>
    </xf>
    <xf numFmtId="0" fontId="8" fillId="0" borderId="0" xfId="0" applyFont="1" applyAlignment="1">
      <alignment vertical="center" shrinkToFit="1"/>
    </xf>
    <xf numFmtId="0" fontId="0" fillId="0" borderId="0" xfId="0" applyAlignment="1">
      <alignment shrinkToFit="1"/>
    </xf>
    <xf numFmtId="0" fontId="0" fillId="0" borderId="0" xfId="0" applyAlignment="1">
      <alignment vertical="center" shrinkToFit="1"/>
    </xf>
    <xf numFmtId="0" fontId="26" fillId="0" borderId="0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0" fontId="43" fillId="0" borderId="5" xfId="2" applyFont="1" applyBorder="1" applyAlignment="1">
      <alignment horizontal="center"/>
    </xf>
    <xf numFmtId="0" fontId="43" fillId="0" borderId="5" xfId="2" applyFont="1" applyBorder="1" applyAlignment="1">
      <alignment horizontal="center" wrapText="1"/>
    </xf>
    <xf numFmtId="0" fontId="44" fillId="0" borderId="5" xfId="2" applyFont="1" applyBorder="1" applyAlignment="1">
      <alignment horizontal="center" wrapText="1"/>
    </xf>
    <xf numFmtId="166" fontId="44" fillId="0" borderId="5" xfId="2" applyNumberFormat="1" applyFont="1" applyBorder="1" applyAlignment="1">
      <alignment horizontal="center" wrapText="1"/>
    </xf>
    <xf numFmtId="167" fontId="43" fillId="0" borderId="5" xfId="2" applyNumberFormat="1" applyFont="1" applyBorder="1" applyAlignment="1">
      <alignment horizontal="center" wrapText="1"/>
    </xf>
    <xf numFmtId="0" fontId="45" fillId="0" borderId="6" xfId="2" applyFont="1" applyBorder="1" applyAlignment="1">
      <alignment horizontal="left"/>
    </xf>
    <xf numFmtId="0" fontId="34" fillId="0" borderId="6" xfId="2" applyFont="1" applyBorder="1" applyAlignment="1">
      <alignment horizontal="left"/>
    </xf>
    <xf numFmtId="2" fontId="7" fillId="0" borderId="0" xfId="0" applyNumberFormat="1" applyFont="1" applyBorder="1" applyAlignment="1">
      <alignment horizontal="center" vertical="center" wrapText="1"/>
    </xf>
    <xf numFmtId="172" fontId="7" fillId="0" borderId="0" xfId="0" applyNumberFormat="1" applyFont="1" applyBorder="1" applyAlignment="1">
      <alignment horizontal="center" vertical="center" wrapText="1"/>
    </xf>
    <xf numFmtId="0" fontId="43" fillId="0" borderId="5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173" fontId="8" fillId="0" borderId="0" xfId="0" applyNumberFormat="1" applyFont="1" applyAlignment="1">
      <alignment vertical="center"/>
    </xf>
    <xf numFmtId="173" fontId="0" fillId="0" borderId="0" xfId="0" applyNumberFormat="1"/>
    <xf numFmtId="173" fontId="0" fillId="0" borderId="0" xfId="0" applyNumberFormat="1" applyAlignment="1">
      <alignment vertical="center"/>
    </xf>
    <xf numFmtId="173" fontId="26" fillId="0" borderId="0" xfId="0" applyNumberFormat="1" applyFont="1" applyBorder="1" applyAlignment="1">
      <alignment vertical="center"/>
    </xf>
    <xf numFmtId="173" fontId="29" fillId="0" borderId="0" xfId="0" applyNumberFormat="1" applyFont="1" applyAlignment="1">
      <alignment horizontal="center" vertical="center"/>
    </xf>
    <xf numFmtId="173" fontId="28" fillId="0" borderId="0" xfId="0" applyNumberFormat="1" applyFont="1" applyAlignment="1">
      <alignment vertical="center"/>
    </xf>
    <xf numFmtId="173" fontId="1" fillId="0" borderId="0" xfId="0" applyNumberFormat="1" applyFont="1" applyAlignment="1">
      <alignment vertical="center"/>
    </xf>
    <xf numFmtId="0" fontId="48" fillId="0" borderId="5" xfId="2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29" fillId="0" borderId="1" xfId="15" applyFont="1" applyBorder="1" applyAlignment="1">
      <alignment horizontal="left" vertical="center"/>
    </xf>
    <xf numFmtId="0" fontId="29" fillId="0" borderId="7" xfId="15" applyFont="1" applyBorder="1" applyAlignment="1">
      <alignment horizontal="center" vertical="center"/>
    </xf>
    <xf numFmtId="49" fontId="29" fillId="0" borderId="1" xfId="15" applyNumberFormat="1" applyFont="1" applyBorder="1" applyAlignment="1">
      <alignment horizontal="center" vertical="center"/>
    </xf>
    <xf numFmtId="0" fontId="46" fillId="0" borderId="1" xfId="11" applyFont="1" applyBorder="1" applyAlignment="1">
      <alignment horizontal="center" vertical="top"/>
    </xf>
    <xf numFmtId="0" fontId="46" fillId="0" borderId="1" xfId="11" applyFont="1" applyBorder="1" applyAlignment="1">
      <alignment horizontal="left" vertical="top"/>
    </xf>
    <xf numFmtId="0" fontId="47" fillId="0" borderId="1" xfId="12" applyFont="1" applyBorder="1" applyAlignment="1">
      <alignment horizontal="left"/>
    </xf>
    <xf numFmtId="0" fontId="49" fillId="0" borderId="1" xfId="2" applyFont="1" applyBorder="1" applyAlignment="1">
      <alignment horizontal="center"/>
    </xf>
    <xf numFmtId="0" fontId="49" fillId="0" borderId="1" xfId="2" applyFont="1" applyBorder="1" applyAlignment="1">
      <alignment horizontal="center" wrapText="1"/>
    </xf>
    <xf numFmtId="166" fontId="49" fillId="0" borderId="1" xfId="2" applyNumberFormat="1" applyFont="1" applyBorder="1" applyAlignment="1">
      <alignment horizontal="center"/>
    </xf>
    <xf numFmtId="167" fontId="49" fillId="0" borderId="1" xfId="2" applyNumberFormat="1" applyFont="1" applyBorder="1" applyAlignment="1">
      <alignment horizontal="center" wrapText="1"/>
    </xf>
    <xf numFmtId="171" fontId="28" fillId="0" borderId="1" xfId="0" applyNumberFormat="1" applyFont="1" applyBorder="1" applyAlignment="1">
      <alignment horizontal="center" vertical="center"/>
    </xf>
    <xf numFmtId="167" fontId="31" fillId="0" borderId="6" xfId="2" applyNumberFormat="1" applyFont="1" applyBorder="1" applyAlignment="1">
      <alignment horizontal="right"/>
    </xf>
    <xf numFmtId="0" fontId="28" fillId="0" borderId="1" xfId="0" applyFont="1" applyBorder="1" applyAlignment="1">
      <alignment horizontal="center" vertical="center"/>
    </xf>
    <xf numFmtId="0" fontId="50" fillId="0" borderId="6" xfId="2" applyFont="1" applyBorder="1" applyAlignment="1">
      <alignment horizontal="right"/>
    </xf>
    <xf numFmtId="0" fontId="31" fillId="0" borderId="6" xfId="2" applyFont="1" applyBorder="1" applyAlignment="1">
      <alignment horizontal="right"/>
    </xf>
    <xf numFmtId="0" fontId="2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8" fillId="2" borderId="5" xfId="2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 shrinkToFit="1"/>
    </xf>
    <xf numFmtId="0" fontId="31" fillId="2" borderId="1" xfId="2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167" fontId="42" fillId="2" borderId="1" xfId="2" applyNumberFormat="1" applyFont="1" applyFill="1" applyBorder="1" applyAlignment="1">
      <alignment horizontal="center" vertical="center" wrapText="1"/>
    </xf>
    <xf numFmtId="0" fontId="46" fillId="2" borderId="1" xfId="11" applyFont="1" applyFill="1" applyBorder="1" applyAlignment="1">
      <alignment horizontal="center" vertical="top"/>
    </xf>
    <xf numFmtId="0" fontId="46" fillId="2" borderId="1" xfId="11" applyFont="1" applyFill="1" applyBorder="1" applyAlignment="1">
      <alignment horizontal="left" vertical="top"/>
    </xf>
    <xf numFmtId="0" fontId="47" fillId="2" borderId="1" xfId="12" applyFont="1" applyFill="1" applyBorder="1" applyAlignment="1">
      <alignment horizontal="left"/>
    </xf>
    <xf numFmtId="0" fontId="0" fillId="2" borderId="0" xfId="0" applyFill="1" applyAlignment="1">
      <alignment vertical="center"/>
    </xf>
    <xf numFmtId="0" fontId="49" fillId="2" borderId="1" xfId="2" applyFont="1" applyFill="1" applyBorder="1" applyAlignment="1">
      <alignment horizontal="center" wrapText="1"/>
    </xf>
    <xf numFmtId="167" fontId="49" fillId="2" borderId="1" xfId="2" applyNumberFormat="1" applyFont="1" applyFill="1" applyBorder="1" applyAlignment="1">
      <alignment horizontal="center" wrapText="1"/>
    </xf>
    <xf numFmtId="0" fontId="29" fillId="2" borderId="0" xfId="0" applyFont="1" applyFill="1" applyAlignment="1">
      <alignment horizontal="center" vertical="center"/>
    </xf>
    <xf numFmtId="167" fontId="0" fillId="2" borderId="0" xfId="0" applyNumberFormat="1" applyFill="1" applyAlignment="1">
      <alignment vertical="center"/>
    </xf>
    <xf numFmtId="168" fontId="0" fillId="2" borderId="0" xfId="0" applyNumberFormat="1" applyFill="1" applyAlignment="1">
      <alignment vertical="center"/>
    </xf>
    <xf numFmtId="166" fontId="50" fillId="0" borderId="8" xfId="2" applyNumberFormat="1" applyFont="1" applyBorder="1" applyAlignment="1">
      <alignment horizontal="center"/>
    </xf>
    <xf numFmtId="0" fontId="23" fillId="0" borderId="0" xfId="0" applyFont="1" applyAlignment="1">
      <alignment horizontal="left" vertical="top" wrapText="1"/>
    </xf>
    <xf numFmtId="0" fontId="16" fillId="0" borderId="0" xfId="0" applyFont="1" applyBorder="1" applyAlignment="1">
      <alignment horizontal="left"/>
    </xf>
    <xf numFmtId="171" fontId="16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171" fontId="3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71" fontId="9" fillId="0" borderId="0" xfId="0" applyNumberFormat="1" applyFont="1" applyBorder="1" applyAlignment="1">
      <alignment horizontal="center"/>
    </xf>
    <xf numFmtId="0" fontId="10" fillId="0" borderId="0" xfId="3" applyFont="1" applyAlignment="1">
      <alignment horizontal="center" vertical="center" wrapText="1"/>
    </xf>
    <xf numFmtId="171" fontId="10" fillId="0" borderId="0" xfId="3" applyNumberFormat="1" applyFont="1" applyAlignment="1">
      <alignment horizontal="center" vertical="center" wrapText="1"/>
    </xf>
    <xf numFmtId="0" fontId="11" fillId="0" borderId="0" xfId="0" applyFont="1" applyBorder="1" applyAlignment="1">
      <alignment horizontal="center" wrapText="1"/>
    </xf>
    <xf numFmtId="171" fontId="11" fillId="0" borderId="0" xfId="0" applyNumberFormat="1" applyFont="1" applyBorder="1" applyAlignment="1">
      <alignment horizontal="center" wrapText="1"/>
    </xf>
    <xf numFmtId="0" fontId="19" fillId="0" borderId="0" xfId="3" applyFont="1" applyAlignment="1">
      <alignment horizontal="left" vertical="top"/>
    </xf>
    <xf numFmtId="171" fontId="19" fillId="0" borderId="0" xfId="3" applyNumberFormat="1" applyFont="1" applyAlignment="1">
      <alignment horizontal="left" vertical="top"/>
    </xf>
    <xf numFmtId="0" fontId="10" fillId="0" borderId="0" xfId="3" applyFont="1" applyAlignment="1">
      <alignment horizontal="left" vertical="top" wrapText="1"/>
    </xf>
    <xf numFmtId="171" fontId="10" fillId="0" borderId="0" xfId="3" applyNumberFormat="1" applyFont="1" applyAlignment="1">
      <alignment horizontal="left" vertical="top" wrapText="1"/>
    </xf>
    <xf numFmtId="0" fontId="10" fillId="0" borderId="0" xfId="3" applyFont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justify" vertical="top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justify" vertical="top" wrapText="1"/>
    </xf>
    <xf numFmtId="0" fontId="12" fillId="0" borderId="0" xfId="7" applyFont="1" applyFill="1" applyAlignment="1" applyProtection="1">
      <alignment horizontal="justify" vertical="top" wrapText="1"/>
    </xf>
    <xf numFmtId="0" fontId="12" fillId="0" borderId="0" xfId="7" applyFont="1" applyFill="1" applyAlignment="1" applyProtection="1">
      <alignment vertical="top" wrapText="1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171" fontId="24" fillId="0" borderId="0" xfId="0" applyNumberFormat="1" applyFont="1" applyAlignment="1">
      <alignment vertical="top" wrapText="1"/>
    </xf>
    <xf numFmtId="171" fontId="23" fillId="0" borderId="0" xfId="0" applyNumberFormat="1" applyFont="1" applyAlignment="1">
      <alignment horizontal="justify" vertical="top"/>
    </xf>
    <xf numFmtId="0" fontId="32" fillId="0" borderId="0" xfId="0" applyFont="1" applyBorder="1" applyAlignment="1">
      <alignment horizontal="center" wrapText="1"/>
    </xf>
    <xf numFmtId="171" fontId="32" fillId="0" borderId="0" xfId="0" applyNumberFormat="1" applyFont="1" applyBorder="1" applyAlignment="1">
      <alignment horizontal="center" wrapText="1"/>
    </xf>
  </cellXfs>
  <cellStyles count="22">
    <cellStyle name="_ET_STYLE_NoName_00_" xfId="1" xr:uid="{00000000-0005-0000-0000-000000000000}"/>
    <cellStyle name="Normal" xfId="2" xr:uid="{00000000-0005-0000-0000-000001000000}"/>
    <cellStyle name="Normal 2" xfId="3" xr:uid="{00000000-0005-0000-0000-000002000000}"/>
    <cellStyle name="Normal 2 2" xfId="4" xr:uid="{00000000-0005-0000-0000-000003000000}"/>
    <cellStyle name="Normal 3" xfId="5" xr:uid="{00000000-0005-0000-0000-000004000000}"/>
    <cellStyle name="Normal 4" xfId="6" xr:uid="{00000000-0005-0000-0000-000005000000}"/>
    <cellStyle name="Гиперссылка" xfId="7" builtinId="8"/>
    <cellStyle name="Гиперссылка 2" xfId="8" xr:uid="{00000000-0005-0000-0000-000007000000}"/>
    <cellStyle name="Гиперссылка 3" xfId="9" xr:uid="{00000000-0005-0000-0000-000008000000}"/>
    <cellStyle name="Обычный" xfId="0" builtinId="0"/>
    <cellStyle name="Обычный 2" xfId="10" xr:uid="{00000000-0005-0000-0000-00000A000000}"/>
    <cellStyle name="Обычный 2 2" xfId="11" xr:uid="{00000000-0005-0000-0000-00000B000000}"/>
    <cellStyle name="Обычный 2 3" xfId="12" xr:uid="{00000000-0005-0000-0000-00000C000000}"/>
    <cellStyle name="Обычный 3" xfId="13" xr:uid="{00000000-0005-0000-0000-00000D000000}"/>
    <cellStyle name="Обычный 4" xfId="14" xr:uid="{00000000-0005-0000-0000-00000E000000}"/>
    <cellStyle name="Обычный 5" xfId="15" xr:uid="{00000000-0005-0000-0000-00000F000000}"/>
    <cellStyle name="常规 10" xfId="16" xr:uid="{00000000-0005-0000-0000-000010000000}"/>
    <cellStyle name="常规 11" xfId="17" xr:uid="{00000000-0005-0000-0000-000011000000}"/>
    <cellStyle name="常规 2" xfId="18" xr:uid="{00000000-0005-0000-0000-000012000000}"/>
    <cellStyle name="常规 6" xfId="19" xr:uid="{00000000-0005-0000-0000-000013000000}"/>
    <cellStyle name="常规 8" xfId="20" xr:uid="{00000000-0005-0000-0000-000014000000}"/>
    <cellStyle name="常规 9" xfId="21" xr:uid="{00000000-0005-0000-0000-00001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275888</xdr:colOff>
      <xdr:row>55</xdr:row>
      <xdr:rowOff>99173</xdr:rowOff>
    </xdr:from>
    <xdr:to>
      <xdr:col>10</xdr:col>
      <xdr:colOff>188809</xdr:colOff>
      <xdr:row>57</xdr:row>
      <xdr:rowOff>192569</xdr:rowOff>
    </xdr:to>
    <xdr:pic>
      <xdr:nvPicPr>
        <xdr:cNvPr id="1272" name="Рисунок 4" descr="stamp3.jpg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7278">
          <a:off x="10764594" y="46906144"/>
          <a:ext cx="695746" cy="570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409575</xdr:colOff>
      <xdr:row>54</xdr:row>
      <xdr:rowOff>28575</xdr:rowOff>
    </xdr:from>
    <xdr:to>
      <xdr:col>12</xdr:col>
      <xdr:colOff>457200</xdr:colOff>
      <xdr:row>56</xdr:row>
      <xdr:rowOff>188601</xdr:rowOff>
    </xdr:to>
    <xdr:pic>
      <xdr:nvPicPr>
        <xdr:cNvPr id="12129" name="Рисунок 1" descr="stamp1.jpg">
          <a:extLst>
            <a:ext uri="{FF2B5EF4-FFF2-40B4-BE49-F238E27FC236}">
              <a16:creationId xmlns:a16="http://schemas.microsoft.com/office/drawing/2014/main" id="{00000000-0008-0000-0000-00006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9FDFF"/>
            </a:clrFrom>
            <a:clrTo>
              <a:srgbClr val="F9FD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392859">
          <a:off x="11677650" y="19992975"/>
          <a:ext cx="24955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130660</xdr:colOff>
      <xdr:row>55</xdr:row>
      <xdr:rowOff>139512</xdr:rowOff>
    </xdr:from>
    <xdr:to>
      <xdr:col>4</xdr:col>
      <xdr:colOff>839777</xdr:colOff>
      <xdr:row>57</xdr:row>
      <xdr:rowOff>132702</xdr:rowOff>
    </xdr:to>
    <xdr:pic>
      <xdr:nvPicPr>
        <xdr:cNvPr id="1271" name="Рисунок 3" descr="stamp3.jpg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7278">
          <a:off x="2226160" y="46946483"/>
          <a:ext cx="709117" cy="486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781050</xdr:colOff>
      <xdr:row>54</xdr:row>
      <xdr:rowOff>180975</xdr:rowOff>
    </xdr:from>
    <xdr:to>
      <xdr:col>4</xdr:col>
      <xdr:colOff>2476500</xdr:colOff>
      <xdr:row>57</xdr:row>
      <xdr:rowOff>78439</xdr:rowOff>
    </xdr:to>
    <xdr:pic>
      <xdr:nvPicPr>
        <xdr:cNvPr id="12131" name="Рисунок 1" descr="stamp1.jpg">
          <a:extLst>
            <a:ext uri="{FF2B5EF4-FFF2-40B4-BE49-F238E27FC236}">
              <a16:creationId xmlns:a16="http://schemas.microsoft.com/office/drawing/2014/main" id="{00000000-0008-0000-0000-00006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20145375"/>
          <a:ext cx="25050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1485900</xdr:colOff>
      <xdr:row>75</xdr:row>
      <xdr:rowOff>57150</xdr:rowOff>
    </xdr:from>
    <xdr:to>
      <xdr:col>4</xdr:col>
      <xdr:colOff>533400</xdr:colOff>
      <xdr:row>78</xdr:row>
      <xdr:rowOff>188878</xdr:rowOff>
    </xdr:to>
    <xdr:pic>
      <xdr:nvPicPr>
        <xdr:cNvPr id="12132" name="Рисунок 7">
          <a:extLst>
            <a:ext uri="{FF2B5EF4-FFF2-40B4-BE49-F238E27FC236}">
              <a16:creationId xmlns:a16="http://schemas.microsoft.com/office/drawing/2014/main" id="{00000000-0008-0000-0000-00006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26231850"/>
          <a:ext cx="13430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571500</xdr:colOff>
      <xdr:row>75</xdr:row>
      <xdr:rowOff>123825</xdr:rowOff>
    </xdr:from>
    <xdr:to>
      <xdr:col>11</xdr:col>
      <xdr:colOff>38100</xdr:colOff>
      <xdr:row>79</xdr:row>
      <xdr:rowOff>38102</xdr:rowOff>
    </xdr:to>
    <xdr:pic>
      <xdr:nvPicPr>
        <xdr:cNvPr id="12133" name="Рисунок 8">
          <a:extLst>
            <a:ext uri="{FF2B5EF4-FFF2-40B4-BE49-F238E27FC236}">
              <a16:creationId xmlns:a16="http://schemas.microsoft.com/office/drawing/2014/main" id="{00000000-0008-0000-0000-00006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8525" y="26298525"/>
          <a:ext cx="13335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1943377</xdr:colOff>
      <xdr:row>71</xdr:row>
      <xdr:rowOff>448234</xdr:rowOff>
    </xdr:from>
    <xdr:to>
      <xdr:col>4</xdr:col>
      <xdr:colOff>3598581</xdr:colOff>
      <xdr:row>79</xdr:row>
      <xdr:rowOff>114209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11CAFB0-8CF8-4020-BF43-705BF0428714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877" y="41316087"/>
          <a:ext cx="1642505" cy="1680883"/>
        </a:xfrm>
        <a:prstGeom prst="rect">
          <a:avLst/>
        </a:prstGeom>
      </xdr:spPr>
    </xdr:pic>
    <xdr:clientData/>
  </xdr:twoCellAnchor>
  <xdr:twoCellAnchor editAs="oneCell">
    <xdr:from>
      <xdr:col>11</xdr:col>
      <xdr:colOff>721939</xdr:colOff>
      <xdr:row>71</xdr:row>
      <xdr:rowOff>542643</xdr:rowOff>
    </xdr:from>
    <xdr:to>
      <xdr:col>13</xdr:col>
      <xdr:colOff>401730</xdr:colOff>
      <xdr:row>79</xdr:row>
      <xdr:rowOff>135654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3EE68D7-AC1E-453D-AA2F-5C97D849A9A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2027" y="41410496"/>
          <a:ext cx="1714500" cy="16920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337729</xdr:colOff>
      <xdr:row>32</xdr:row>
      <xdr:rowOff>71551</xdr:rowOff>
    </xdr:from>
    <xdr:to>
      <xdr:col>4</xdr:col>
      <xdr:colOff>1028885</xdr:colOff>
      <xdr:row>33</xdr:row>
      <xdr:rowOff>361171</xdr:rowOff>
    </xdr:to>
    <xdr:pic>
      <xdr:nvPicPr>
        <xdr:cNvPr id="4" name="Рисунок 3" descr="stamp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7278">
          <a:off x="2337979" y="22468908"/>
          <a:ext cx="691156" cy="493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34</xdr:row>
      <xdr:rowOff>38100</xdr:rowOff>
    </xdr:from>
    <xdr:to>
      <xdr:col>4</xdr:col>
      <xdr:colOff>2516187</xdr:colOff>
      <xdr:row>36</xdr:row>
      <xdr:rowOff>190498</xdr:rowOff>
    </xdr:to>
    <xdr:pic>
      <xdr:nvPicPr>
        <xdr:cNvPr id="6032" name="Рисунок 1" descr="stamp1.jpg">
          <a:extLst>
            <a:ext uri="{FF2B5EF4-FFF2-40B4-BE49-F238E27FC236}">
              <a16:creationId xmlns:a16="http://schemas.microsoft.com/office/drawing/2014/main" id="{00000000-0008-0000-0100-00009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13830300"/>
          <a:ext cx="25050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zhongfanghz.cn/" TargetMode="External"/><Relationship Id="rId2" Type="http://schemas.openxmlformats.org/officeDocument/2006/relationships/hyperlink" Target="http://www.zhongfanghz.cn/" TargetMode="External"/><Relationship Id="rId1" Type="http://schemas.openxmlformats.org/officeDocument/2006/relationships/hyperlink" Target="http://www.zhongfanghz.cn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zhongfanghz.cn/" TargetMode="External"/><Relationship Id="rId2" Type="http://schemas.openxmlformats.org/officeDocument/2006/relationships/hyperlink" Target="http://www.zhongfanghz.cn/" TargetMode="External"/><Relationship Id="rId1" Type="http://schemas.openxmlformats.org/officeDocument/2006/relationships/hyperlink" Target="http://www.zhongfanghz.cn/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defaultRowHeight="17.25" customHeight="1"/>
  <cols>
    <col min="1" max="1" width="4.3125" customWidth="1"/>
    <col min="2" max="2" width="5" customWidth="1"/>
    <col min="3" max="3" width="7.5" style="2" customWidth="1"/>
    <col min="4" max="4" width="10.5625" style="2" customWidth="1"/>
    <col min="5" max="5" width="62.25" style="55" customWidth="1"/>
    <col min="6" max="6" width="12.25" style="1" customWidth="1"/>
    <col min="7" max="7" width="10.75" style="1" customWidth="1"/>
    <col min="8" max="8" width="13.5625" style="3" customWidth="1"/>
    <col min="9" max="9" width="11.25" style="3" customWidth="1"/>
    <col min="10" max="10" width="10.25" style="70" customWidth="1"/>
    <col min="11" max="11" width="14.25" style="47" customWidth="1"/>
    <col min="12" max="12" width="17.8125" style="78" customWidth="1"/>
    <col min="13" max="13" width="8.75" style="4" customWidth="1"/>
    <col min="14" max="14" width="12.75" style="70" customWidth="1"/>
    <col min="15" max="15" width="12.75" style="5" customWidth="1"/>
    <col min="16" max="16" width="8.8125" style="5" customWidth="1"/>
    <col min="17" max="17" width="7.3125" style="5" customWidth="1"/>
    <col min="18" max="18" width="12.75" style="109" customWidth="1"/>
    <col min="19" max="25" width="12.75" style="5" hidden="1" customWidth="1"/>
    <col min="26" max="26" width="12.75" style="128" hidden="1" customWidth="1"/>
    <col min="27" max="27" width="11.5" style="5" hidden="1" customWidth="1"/>
    <col min="28" max="28" width="13.25" style="5" hidden="1" customWidth="1"/>
    <col min="29" max="29" width="12.75" style="5" customWidth="1"/>
    <col min="30" max="30" width="28.0625" style="5" customWidth="1"/>
    <col min="31" max="31" width="9" style="5" customWidth="1"/>
    <col min="32" max="32" width="9" style="103" customWidth="1"/>
    <col min="33" max="196" width="9" style="5" customWidth="1"/>
  </cols>
  <sheetData>
    <row r="1" spans="1:134" customFormat="1" ht="25.15">
      <c r="A1" s="6"/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  <c r="O1" s="7"/>
      <c r="P1" s="7"/>
      <c r="Q1" s="7"/>
      <c r="R1" s="105"/>
      <c r="S1" s="7"/>
      <c r="T1" s="7"/>
      <c r="U1" s="7"/>
      <c r="V1" s="7"/>
      <c r="W1" s="7"/>
      <c r="X1" s="7"/>
      <c r="Y1" s="7"/>
      <c r="Z1" s="122"/>
      <c r="AA1" s="7"/>
      <c r="AB1" s="7"/>
      <c r="AC1" s="7"/>
      <c r="AD1" s="7"/>
      <c r="AE1" s="7"/>
      <c r="AF1" s="99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</row>
    <row r="2" spans="1:134" customFormat="1" ht="26.25" customHeight="1">
      <c r="B2" s="171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  <c r="O2" s="7"/>
      <c r="P2" s="7"/>
      <c r="Q2" s="7"/>
      <c r="R2" s="105"/>
      <c r="S2" s="7"/>
      <c r="T2" s="7"/>
      <c r="U2" s="7"/>
      <c r="V2" s="7"/>
      <c r="W2" s="7"/>
      <c r="X2" s="7"/>
      <c r="Y2" s="7"/>
      <c r="Z2" s="122"/>
      <c r="AA2" s="7"/>
      <c r="AB2" s="7"/>
      <c r="AC2" s="7"/>
      <c r="AD2" s="7"/>
      <c r="AE2" s="7"/>
      <c r="AF2" s="99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</row>
    <row r="3" spans="1:134" s="8" customFormat="1" ht="60.75" customHeight="1">
      <c r="B3" s="173" t="s">
        <v>73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4"/>
      <c r="R3" s="106"/>
      <c r="S3"/>
      <c r="Z3" s="123"/>
      <c r="AF3" s="100"/>
    </row>
    <row r="4" spans="1:134" s="8" customFormat="1" ht="15" customHeight="1">
      <c r="B4" s="173" t="s">
        <v>3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  <c r="R4" s="106"/>
      <c r="S4"/>
      <c r="Z4" s="123"/>
      <c r="AF4" s="100"/>
    </row>
    <row r="5" spans="1:134" s="8" customFormat="1" ht="15.75">
      <c r="B5" s="9"/>
      <c r="C5" s="9"/>
      <c r="D5" s="9"/>
      <c r="E5" s="22"/>
      <c r="F5" s="9"/>
      <c r="G5" s="9"/>
      <c r="H5" s="9"/>
      <c r="I5" s="9"/>
      <c r="J5" s="61"/>
      <c r="K5" s="56"/>
      <c r="L5" s="71"/>
      <c r="M5" s="9"/>
      <c r="N5" s="61"/>
      <c r="R5" s="106"/>
      <c r="S5"/>
      <c r="Z5" s="123"/>
      <c r="AF5" s="100"/>
    </row>
    <row r="6" spans="1:134" s="8" customFormat="1" ht="12" customHeight="1">
      <c r="B6" s="9"/>
      <c r="C6" s="9"/>
      <c r="D6" s="9"/>
      <c r="E6" s="22"/>
      <c r="F6" s="9"/>
      <c r="G6" s="9"/>
      <c r="H6" s="9"/>
      <c r="I6" s="9"/>
      <c r="J6" s="61"/>
      <c r="K6" s="56"/>
      <c r="L6" s="71"/>
      <c r="M6" s="9"/>
      <c r="N6" s="61"/>
      <c r="R6" s="106"/>
      <c r="S6"/>
      <c r="Z6" s="123"/>
      <c r="AF6" s="100"/>
    </row>
    <row r="7" spans="1:134" customFormat="1" ht="27" customHeight="1">
      <c r="B7" s="175" t="str">
        <f>"SPECIFICATION №"&amp;L9&amp;" dd "&amp;L11</f>
        <v>SPECIFICATION №ZFRMB26148-626-1 dd Aug.19,2026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6"/>
      <c r="R7" s="107"/>
      <c r="Z7" s="124"/>
      <c r="AF7" s="101"/>
    </row>
    <row r="8" spans="1:134" customFormat="1" ht="15.75" customHeight="1">
      <c r="B8" s="10"/>
      <c r="C8" s="10"/>
      <c r="D8" s="10"/>
      <c r="E8" s="48"/>
      <c r="F8" s="10"/>
      <c r="G8" s="10"/>
      <c r="H8" s="10"/>
      <c r="I8" s="10"/>
      <c r="J8" s="63"/>
      <c r="K8" s="57"/>
      <c r="L8" s="72"/>
      <c r="M8" s="10"/>
      <c r="N8" s="63"/>
      <c r="R8" s="107"/>
      <c r="Z8" s="124"/>
      <c r="AF8" s="101"/>
    </row>
    <row r="9" spans="1:134" s="8" customFormat="1" ht="15.75">
      <c r="B9" s="11"/>
      <c r="C9" s="12"/>
      <c r="D9" s="12"/>
      <c r="E9" s="49"/>
      <c r="F9" s="12"/>
      <c r="G9" s="13"/>
      <c r="H9" s="13"/>
      <c r="I9" s="12"/>
      <c r="J9" s="65"/>
      <c r="K9" s="116" t="s">
        <v>92</v>
      </c>
      <c r="L9" s="147" t="s">
        <v>121</v>
      </c>
      <c r="M9" s="11"/>
      <c r="N9" s="64"/>
      <c r="R9" s="106"/>
      <c r="S9"/>
      <c r="Z9" s="123"/>
      <c r="AF9" s="100"/>
    </row>
    <row r="10" spans="1:134" s="8" customFormat="1" ht="15.75">
      <c r="B10" s="14" t="s">
        <v>67</v>
      </c>
      <c r="C10" s="14"/>
      <c r="D10" s="14"/>
      <c r="E10" s="50"/>
      <c r="F10" s="14"/>
      <c r="G10" s="14"/>
      <c r="H10" s="14"/>
      <c r="I10" s="14"/>
      <c r="J10" s="65"/>
      <c r="K10" s="116"/>
      <c r="L10" s="144"/>
      <c r="M10" s="167"/>
      <c r="N10" s="168"/>
      <c r="R10" s="106"/>
      <c r="S10"/>
      <c r="Z10" s="123"/>
      <c r="AF10" s="100"/>
    </row>
    <row r="11" spans="1:134" s="8" customFormat="1" ht="16.149999999999999">
      <c r="B11" s="14"/>
      <c r="C11" s="14"/>
      <c r="D11" s="14"/>
      <c r="E11" s="50"/>
      <c r="F11" s="14"/>
      <c r="G11" s="14"/>
      <c r="H11" s="14"/>
      <c r="I11" s="14"/>
      <c r="J11" s="65"/>
      <c r="K11" s="115" t="s">
        <v>93</v>
      </c>
      <c r="L11" s="146" t="s">
        <v>120</v>
      </c>
      <c r="M11" s="15"/>
      <c r="N11" s="62"/>
      <c r="R11" s="106"/>
      <c r="S11"/>
      <c r="Z11" s="123"/>
      <c r="AF11" s="100"/>
    </row>
    <row r="12" spans="1:134" s="8" customFormat="1" ht="15.75">
      <c r="B12" s="11"/>
      <c r="C12" s="12"/>
      <c r="D12" s="12"/>
      <c r="E12" s="49"/>
      <c r="F12" s="12"/>
      <c r="G12" s="13"/>
      <c r="H12" s="13"/>
      <c r="I12" s="12"/>
      <c r="J12" s="65"/>
      <c r="K12" s="16"/>
      <c r="L12" s="73"/>
      <c r="M12" s="12"/>
      <c r="N12" s="65"/>
      <c r="R12" s="106"/>
      <c r="S12"/>
      <c r="Z12" s="123"/>
      <c r="AF12" s="100"/>
    </row>
    <row r="13" spans="1:134" s="8" customFormat="1" ht="18" customHeight="1">
      <c r="B13" s="17" t="s">
        <v>4</v>
      </c>
      <c r="C13" s="17"/>
      <c r="D13" s="17"/>
      <c r="E13" s="51"/>
      <c r="F13" s="18"/>
      <c r="G13" s="19"/>
      <c r="H13" s="20"/>
      <c r="I13" s="177" t="s">
        <v>5</v>
      </c>
      <c r="J13" s="177"/>
      <c r="K13" s="177"/>
      <c r="L13" s="177"/>
      <c r="M13" s="177"/>
      <c r="N13" s="178"/>
      <c r="R13" s="106"/>
      <c r="S13"/>
      <c r="Z13" s="123"/>
      <c r="AF13" s="100"/>
    </row>
    <row r="14" spans="1:134" s="8" customFormat="1" ht="19.5" customHeight="1">
      <c r="B14" s="21" t="s">
        <v>6</v>
      </c>
      <c r="C14" s="11"/>
      <c r="D14" s="11"/>
      <c r="E14" s="22"/>
      <c r="F14" s="18"/>
      <c r="G14" s="19"/>
      <c r="H14" s="20"/>
      <c r="I14" s="179" t="s">
        <v>1</v>
      </c>
      <c r="J14" s="179"/>
      <c r="K14" s="179"/>
      <c r="L14" s="179"/>
      <c r="M14" s="179"/>
      <c r="N14" s="180"/>
      <c r="R14" s="106"/>
      <c r="S14"/>
      <c r="Z14" s="123"/>
      <c r="AF14" s="100"/>
    </row>
    <row r="15" spans="1:134" s="8" customFormat="1" ht="16.5" customHeight="1">
      <c r="B15" s="17" t="s">
        <v>7</v>
      </c>
      <c r="C15" s="11"/>
      <c r="D15" s="11"/>
      <c r="E15" s="22"/>
      <c r="F15" s="18"/>
      <c r="G15" s="19"/>
      <c r="H15" s="20"/>
      <c r="I15" s="177" t="s">
        <v>7</v>
      </c>
      <c r="J15" s="177"/>
      <c r="K15" s="177"/>
      <c r="L15" s="177"/>
      <c r="M15" s="177"/>
      <c r="N15" s="66"/>
      <c r="R15" s="106"/>
      <c r="S15"/>
      <c r="Z15" s="123"/>
      <c r="AF15" s="100"/>
    </row>
    <row r="16" spans="1:134" s="8" customFormat="1" ht="34.5" customHeight="1">
      <c r="B16" s="179" t="s">
        <v>100</v>
      </c>
      <c r="C16" s="179"/>
      <c r="D16" s="179"/>
      <c r="E16" s="179"/>
      <c r="F16" s="179"/>
      <c r="G16" s="179"/>
      <c r="H16" s="24"/>
      <c r="I16" s="181" t="s">
        <v>73</v>
      </c>
      <c r="J16" s="181"/>
      <c r="K16" s="181"/>
      <c r="L16" s="181"/>
      <c r="M16" s="181"/>
      <c r="N16" s="181"/>
      <c r="R16" s="106"/>
      <c r="S16"/>
      <c r="Z16" s="123"/>
      <c r="AF16" s="100"/>
    </row>
    <row r="17" spans="2:134" s="8" customFormat="1" ht="31.5" customHeight="1">
      <c r="B17" s="179" t="s">
        <v>101</v>
      </c>
      <c r="C17" s="179"/>
      <c r="D17" s="179"/>
      <c r="E17" s="179"/>
      <c r="F17" s="179"/>
      <c r="G17" s="179"/>
      <c r="H17" s="24"/>
      <c r="I17" s="181"/>
      <c r="J17" s="181"/>
      <c r="K17" s="181"/>
      <c r="L17" s="181"/>
      <c r="M17" s="181"/>
      <c r="N17" s="181"/>
      <c r="R17" s="106"/>
      <c r="S17"/>
      <c r="Z17" s="123"/>
      <c r="AF17" s="100"/>
    </row>
    <row r="18" spans="2:134" s="8" customFormat="1" ht="15.75">
      <c r="B18" s="21" t="s">
        <v>8</v>
      </c>
      <c r="C18" s="11"/>
      <c r="D18" s="11"/>
      <c r="E18" s="22"/>
      <c r="F18" s="25"/>
      <c r="G18" s="26"/>
      <c r="H18" s="27"/>
      <c r="I18" s="177" t="s">
        <v>98</v>
      </c>
      <c r="J18" s="177"/>
      <c r="K18" s="177"/>
      <c r="L18" s="177"/>
      <c r="M18" s="177"/>
      <c r="N18" s="178"/>
      <c r="R18" s="106"/>
      <c r="S18"/>
      <c r="Z18" s="123"/>
      <c r="AF18" s="100"/>
    </row>
    <row r="19" spans="2:134" s="8" customFormat="1" ht="15.75">
      <c r="B19" s="21" t="s">
        <v>74</v>
      </c>
      <c r="C19" s="11"/>
      <c r="D19" s="11"/>
      <c r="E19" s="22"/>
      <c r="F19" s="25"/>
      <c r="G19" s="26"/>
      <c r="H19" s="27"/>
      <c r="I19" s="179" t="s">
        <v>1</v>
      </c>
      <c r="J19" s="179"/>
      <c r="K19" s="179"/>
      <c r="L19" s="179"/>
      <c r="M19" s="179"/>
      <c r="N19" s="180"/>
      <c r="R19" s="106"/>
      <c r="S19"/>
      <c r="Z19" s="123"/>
      <c r="AF19" s="100"/>
    </row>
    <row r="20" spans="2:134" customFormat="1" ht="17.649999999999999">
      <c r="B20" s="21" t="s">
        <v>122</v>
      </c>
      <c r="C20" s="28"/>
      <c r="D20" s="28"/>
      <c r="E20" s="52"/>
      <c r="F20" s="29"/>
      <c r="G20" s="30"/>
      <c r="H20" s="30"/>
      <c r="I20" s="31"/>
      <c r="J20" s="60"/>
      <c r="K20" s="117"/>
      <c r="L20" s="118"/>
      <c r="M20" s="32"/>
      <c r="N20" s="60"/>
      <c r="O20" s="7"/>
      <c r="P20" s="7"/>
      <c r="Q20" s="7"/>
      <c r="R20" s="105"/>
      <c r="S20" s="7"/>
      <c r="T20" s="7"/>
      <c r="U20" s="7"/>
      <c r="V20" s="7"/>
      <c r="W20" s="7"/>
      <c r="X20" s="7"/>
      <c r="Y20" s="7"/>
      <c r="Z20" s="122"/>
      <c r="AA20" s="7"/>
      <c r="AB20" s="7"/>
      <c r="AC20" s="7"/>
      <c r="AD20" s="7"/>
      <c r="AE20" s="7"/>
      <c r="AF20" s="99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</row>
    <row r="21" spans="2:134" customFormat="1" ht="11.25" customHeight="1">
      <c r="B21" s="21"/>
      <c r="C21" s="28"/>
      <c r="D21" s="28"/>
      <c r="E21" s="52"/>
      <c r="F21" s="29"/>
      <c r="G21" s="30"/>
      <c r="H21" s="30"/>
      <c r="I21" s="31"/>
      <c r="J21" s="60"/>
      <c r="K21" s="33"/>
      <c r="L21" s="74"/>
      <c r="M21" s="32"/>
      <c r="N21" s="60"/>
      <c r="O21" s="7"/>
      <c r="P21" s="7"/>
      <c r="Q21" s="7"/>
      <c r="R21" s="105"/>
      <c r="S21" s="7"/>
      <c r="T21" s="7"/>
      <c r="U21" s="7"/>
      <c r="V21" s="7"/>
      <c r="W21" s="7"/>
      <c r="X21" s="7"/>
      <c r="Y21" s="7"/>
      <c r="Z21" s="122"/>
      <c r="AA21" s="7"/>
      <c r="AB21" s="7"/>
      <c r="AC21" s="7"/>
      <c r="AD21" s="7"/>
      <c r="AE21" s="7"/>
      <c r="AF21" s="99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</row>
    <row r="22" spans="2:134" s="86" customFormat="1" ht="89.55" customHeight="1">
      <c r="B22" s="79" t="s">
        <v>2</v>
      </c>
      <c r="C22" s="80" t="s">
        <v>78</v>
      </c>
      <c r="D22" s="79" t="s">
        <v>66</v>
      </c>
      <c r="E22" s="80" t="s">
        <v>9</v>
      </c>
      <c r="F22" s="80" t="s">
        <v>10</v>
      </c>
      <c r="G22" s="80" t="s">
        <v>11</v>
      </c>
      <c r="H22" s="81" t="s">
        <v>12</v>
      </c>
      <c r="I22" s="81" t="s">
        <v>13</v>
      </c>
      <c r="J22" s="85" t="s">
        <v>69</v>
      </c>
      <c r="K22" s="83" t="s">
        <v>14</v>
      </c>
      <c r="L22" s="84" t="s">
        <v>15</v>
      </c>
      <c r="M22" s="82" t="s">
        <v>68</v>
      </c>
      <c r="N22" s="85" t="s">
        <v>65</v>
      </c>
      <c r="R22" s="108"/>
      <c r="S22" s="119" t="s">
        <v>79</v>
      </c>
      <c r="T22" s="110" t="s">
        <v>80</v>
      </c>
      <c r="U22" s="111" t="s">
        <v>81</v>
      </c>
      <c r="V22" s="112" t="s">
        <v>82</v>
      </c>
      <c r="W22" s="113" t="s">
        <v>83</v>
      </c>
      <c r="X22" s="114" t="s">
        <v>84</v>
      </c>
      <c r="Y22" s="86" t="s">
        <v>89</v>
      </c>
      <c r="Z22" s="125" t="s">
        <v>88</v>
      </c>
      <c r="AA22" s="86" t="s">
        <v>86</v>
      </c>
      <c r="AB22" s="86" t="s">
        <v>87</v>
      </c>
      <c r="AF22" s="102"/>
      <c r="AG22" s="86" t="s">
        <v>90</v>
      </c>
    </row>
    <row r="23" spans="2:134" s="87" customFormat="1" ht="63.75" customHeight="1">
      <c r="B23" s="145">
        <v>1</v>
      </c>
      <c r="C23" s="120">
        <f t="shared" ref="C23:C25" si="0">U23</f>
        <v>8</v>
      </c>
      <c r="D23" s="129" t="str">
        <f t="shared" ref="D23:D25" si="1">S23</f>
        <v>Melange 928</v>
      </c>
      <c r="E23" s="104" t="str">
        <f t="shared" ref="E23:E25" si="2">R23</f>
        <v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v>
      </c>
      <c r="F23" s="121" t="str">
        <f t="shared" ref="F23:F25" si="3">T23</f>
        <v>5407530000</v>
      </c>
      <c r="G23" s="121" t="str">
        <f t="shared" ref="G23:G25" si="4">O23</f>
        <v>5407530000</v>
      </c>
      <c r="H23" s="94">
        <f t="shared" ref="H23:H25" si="5">X23</f>
        <v>302.89999999999998</v>
      </c>
      <c r="I23" s="94">
        <f>V23</f>
        <v>1.41</v>
      </c>
      <c r="J23" s="98">
        <f>W23</f>
        <v>427.08899999999994</v>
      </c>
      <c r="K23" s="94">
        <f t="shared" ref="K23:K25" si="6">ROUND(AA23,2)</f>
        <v>209</v>
      </c>
      <c r="L23" s="94">
        <f t="shared" ref="L23:L25" si="7">ROUND(AB23,2)</f>
        <v>219</v>
      </c>
      <c r="M23" s="93">
        <f t="shared" ref="M23:M25" si="8">Y23</f>
        <v>22.5</v>
      </c>
      <c r="N23" s="93">
        <f t="shared" ref="N23:N25" si="9">ROUND(Z23,2)</f>
        <v>6815.25</v>
      </c>
      <c r="O23" s="136" t="s">
        <v>124</v>
      </c>
      <c r="P23" s="137" t="s">
        <v>76</v>
      </c>
      <c r="Q23" s="137" t="s">
        <v>77</v>
      </c>
      <c r="R23" s="138" t="s">
        <v>134</v>
      </c>
      <c r="S23" t="s">
        <v>123</v>
      </c>
      <c r="T23" s="139" t="s">
        <v>124</v>
      </c>
      <c r="U23" s="140">
        <v>8</v>
      </c>
      <c r="V23" s="140">
        <v>1.41</v>
      </c>
      <c r="W23" s="141">
        <v>427.08899999999994</v>
      </c>
      <c r="X23" s="142">
        <v>302.89999999999998</v>
      </c>
      <c r="Y23" s="87">
        <v>22.5</v>
      </c>
      <c r="Z23" s="126">
        <f t="shared" ref="Z23:Z35" si="10">X23*Y23</f>
        <v>6815.2499999999991</v>
      </c>
      <c r="AA23" s="131">
        <v>209.00100000000003</v>
      </c>
      <c r="AB23" s="132">
        <v>219.00100000000003</v>
      </c>
      <c r="AC23" s="135" t="s">
        <v>91</v>
      </c>
      <c r="AD23" s="134" t="s">
        <v>113</v>
      </c>
      <c r="AE23" s="130">
        <v>45742</v>
      </c>
      <c r="AF23" s="130">
        <v>47548</v>
      </c>
      <c r="AG23" s="133" t="s">
        <v>1</v>
      </c>
    </row>
    <row r="24" spans="2:134" s="87" customFormat="1" ht="52.5" customHeight="1">
      <c r="B24" s="145">
        <v>2</v>
      </c>
      <c r="C24" s="120">
        <f t="shared" si="0"/>
        <v>15</v>
      </c>
      <c r="D24" s="129" t="str">
        <f t="shared" si="1"/>
        <v>Noble 110</v>
      </c>
      <c r="E24" s="104" t="str">
        <f t="shared" si="2"/>
        <v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v>
      </c>
      <c r="F24" s="121" t="str">
        <f t="shared" si="3"/>
        <v>5407610000</v>
      </c>
      <c r="G24" s="121">
        <f t="shared" si="4"/>
        <v>5407613000</v>
      </c>
      <c r="H24" s="94">
        <f t="shared" si="5"/>
        <v>611.5</v>
      </c>
      <c r="I24" s="94">
        <f>V24</f>
        <v>1.42</v>
      </c>
      <c r="J24" s="98">
        <f t="shared" ref="J24:J25" si="11">W24</f>
        <v>868.32999999999993</v>
      </c>
      <c r="K24" s="94">
        <f t="shared" si="6"/>
        <v>580.92999999999995</v>
      </c>
      <c r="L24" s="94">
        <f t="shared" si="7"/>
        <v>597.27</v>
      </c>
      <c r="M24" s="93">
        <f t="shared" si="8"/>
        <v>43.8</v>
      </c>
      <c r="N24" s="93">
        <f t="shared" si="9"/>
        <v>26783.7</v>
      </c>
      <c r="O24" s="136">
        <v>5407613000</v>
      </c>
      <c r="P24" s="137" t="s">
        <v>76</v>
      </c>
      <c r="Q24" s="137" t="s">
        <v>77</v>
      </c>
      <c r="R24" s="138" t="s">
        <v>117</v>
      </c>
      <c r="S24" t="s">
        <v>125</v>
      </c>
      <c r="T24" s="139" t="s">
        <v>107</v>
      </c>
      <c r="U24" s="140">
        <v>15</v>
      </c>
      <c r="V24" s="140">
        <v>1.42</v>
      </c>
      <c r="W24" s="141">
        <v>868.32999999999993</v>
      </c>
      <c r="X24" s="142">
        <v>611.5</v>
      </c>
      <c r="Y24" s="87">
        <v>43.8</v>
      </c>
      <c r="Z24" s="126">
        <f t="shared" si="10"/>
        <v>26783.699999999997</v>
      </c>
      <c r="AA24" s="131">
        <v>580.92499999999995</v>
      </c>
      <c r="AB24" s="132">
        <v>597.26900000000001</v>
      </c>
      <c r="AC24" s="135" t="s">
        <v>91</v>
      </c>
      <c r="AD24" s="134" t="s">
        <v>113</v>
      </c>
      <c r="AE24" s="130">
        <v>45742</v>
      </c>
      <c r="AF24" s="130">
        <v>47548</v>
      </c>
      <c r="AG24" s="133" t="s">
        <v>1</v>
      </c>
    </row>
    <row r="25" spans="2:134" s="162" customFormat="1" ht="36.75" customHeight="1">
      <c r="B25" s="148">
        <v>3</v>
      </c>
      <c r="C25" s="149">
        <f t="shared" si="0"/>
        <v>12</v>
      </c>
      <c r="D25" s="150" t="str">
        <f t="shared" si="1"/>
        <v>Noble 624</v>
      </c>
      <c r="E25" s="151" t="str">
        <f t="shared" si="2"/>
        <v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v>
      </c>
      <c r="F25" s="152" t="str">
        <f t="shared" si="3"/>
        <v>5407610000</v>
      </c>
      <c r="G25" s="152">
        <f t="shared" si="4"/>
        <v>5407613000</v>
      </c>
      <c r="H25" s="153">
        <f t="shared" si="5"/>
        <v>507</v>
      </c>
      <c r="I25" s="153">
        <f t="shared" ref="I25:I35" si="12">V25</f>
        <v>1.42</v>
      </c>
      <c r="J25" s="154">
        <f t="shared" si="11"/>
        <v>719.93999999999994</v>
      </c>
      <c r="K25" s="153">
        <f t="shared" si="6"/>
        <v>481.65</v>
      </c>
      <c r="L25" s="153">
        <f t="shared" si="7"/>
        <v>494.73</v>
      </c>
      <c r="M25" s="155">
        <f t="shared" si="8"/>
        <v>43.8</v>
      </c>
      <c r="N25" s="155">
        <f t="shared" si="9"/>
        <v>22206.6</v>
      </c>
      <c r="O25" s="156">
        <v>5407613000</v>
      </c>
      <c r="P25" s="157" t="s">
        <v>76</v>
      </c>
      <c r="Q25" s="157" t="s">
        <v>77</v>
      </c>
      <c r="R25" s="158" t="s">
        <v>117</v>
      </c>
      <c r="S25" s="159" t="s">
        <v>126</v>
      </c>
      <c r="T25" s="139" t="s">
        <v>107</v>
      </c>
      <c r="U25" s="160">
        <v>12</v>
      </c>
      <c r="V25" s="160">
        <v>1.42</v>
      </c>
      <c r="W25" s="141">
        <v>719.93999999999994</v>
      </c>
      <c r="X25" s="161">
        <v>507</v>
      </c>
      <c r="Y25" s="87">
        <v>43.8</v>
      </c>
      <c r="Z25" s="126">
        <f t="shared" si="10"/>
        <v>22206.6</v>
      </c>
      <c r="AA25" s="163">
        <v>481.65</v>
      </c>
      <c r="AB25" s="164">
        <v>494.72520000000003</v>
      </c>
      <c r="AC25" s="135" t="s">
        <v>91</v>
      </c>
      <c r="AD25" s="134" t="s">
        <v>113</v>
      </c>
      <c r="AE25" s="130">
        <v>45742</v>
      </c>
      <c r="AF25" s="130">
        <v>47548</v>
      </c>
      <c r="AG25" s="133" t="s">
        <v>1</v>
      </c>
    </row>
    <row r="26" spans="2:134" s="162" customFormat="1" ht="43.5" customHeight="1">
      <c r="B26" s="148">
        <v>4</v>
      </c>
      <c r="C26" s="149">
        <f t="shared" ref="C26:C33" si="13">U26</f>
        <v>81</v>
      </c>
      <c r="D26" s="150" t="str">
        <f t="shared" ref="D26:D33" si="14">S26</f>
        <v>Omega 03</v>
      </c>
      <c r="E26" s="151" t="str">
        <f t="shared" ref="E26:E33" si="15">R26</f>
        <v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v>
      </c>
      <c r="F26" s="152" t="str">
        <f t="shared" ref="F26:F33" si="16">T26</f>
        <v>5407610000</v>
      </c>
      <c r="G26" s="152">
        <f t="shared" ref="G26:G33" si="17">O26</f>
        <v>5407613000</v>
      </c>
      <c r="H26" s="153">
        <f t="shared" ref="H26:H33" si="18">X26</f>
        <v>3712.9</v>
      </c>
      <c r="I26" s="153">
        <f t="shared" si="12"/>
        <v>1.44</v>
      </c>
      <c r="J26" s="154">
        <f>W26</f>
        <v>5346.576</v>
      </c>
      <c r="K26" s="153">
        <f t="shared" ref="K26:K33" si="19">ROUND(AA26,2)</f>
        <v>1559.42</v>
      </c>
      <c r="L26" s="153">
        <f t="shared" ref="L26:L33" si="20">ROUND(AB26,2)</f>
        <v>1640.4</v>
      </c>
      <c r="M26" s="155">
        <f t="shared" ref="M26:M33" si="21">Y26</f>
        <v>9.5</v>
      </c>
      <c r="N26" s="155">
        <f t="shared" ref="N26:N33" si="22">ROUND(Z26,2)</f>
        <v>35272.550000000003</v>
      </c>
      <c r="O26" s="156">
        <v>5407613000</v>
      </c>
      <c r="P26" s="157" t="s">
        <v>76</v>
      </c>
      <c r="Q26" s="157" t="s">
        <v>77</v>
      </c>
      <c r="R26" s="158" t="s">
        <v>106</v>
      </c>
      <c r="S26" s="159" t="s">
        <v>127</v>
      </c>
      <c r="T26" s="139" t="s">
        <v>107</v>
      </c>
      <c r="U26" s="160">
        <v>81</v>
      </c>
      <c r="V26" s="160">
        <v>1.44</v>
      </c>
      <c r="W26" s="141">
        <v>5346.576</v>
      </c>
      <c r="X26" s="161">
        <v>3712.9</v>
      </c>
      <c r="Y26" s="162">
        <v>9.5</v>
      </c>
      <c r="Z26" s="126">
        <f t="shared" si="10"/>
        <v>35272.550000000003</v>
      </c>
      <c r="AA26" s="163">
        <v>1559.4179999999997</v>
      </c>
      <c r="AB26" s="164">
        <v>1640.4018000000001</v>
      </c>
      <c r="AC26" s="135" t="s">
        <v>91</v>
      </c>
      <c r="AD26" s="134" t="s">
        <v>113</v>
      </c>
      <c r="AE26" s="130">
        <v>45742</v>
      </c>
      <c r="AF26" s="130">
        <v>47548</v>
      </c>
      <c r="AG26" s="133" t="s">
        <v>1</v>
      </c>
    </row>
    <row r="27" spans="2:134" s="162" customFormat="1" ht="59.25" customHeight="1">
      <c r="B27" s="148">
        <v>5</v>
      </c>
      <c r="C27" s="149">
        <f t="shared" si="13"/>
        <v>35</v>
      </c>
      <c r="D27" s="150" t="str">
        <f t="shared" si="14"/>
        <v>Omega 62</v>
      </c>
      <c r="E27" s="151" t="str">
        <f t="shared" si="15"/>
        <v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v>
      </c>
      <c r="F27" s="152" t="str">
        <f t="shared" si="16"/>
        <v>5407610000</v>
      </c>
      <c r="G27" s="152">
        <f t="shared" si="17"/>
        <v>5407613000</v>
      </c>
      <c r="H27" s="153">
        <f t="shared" si="18"/>
        <v>1630</v>
      </c>
      <c r="I27" s="153">
        <f t="shared" si="12"/>
        <v>1.44</v>
      </c>
      <c r="J27" s="154">
        <f t="shared" ref="J27:J33" si="23">W27</f>
        <v>2347.1999999999998</v>
      </c>
      <c r="K27" s="153">
        <f t="shared" si="19"/>
        <v>684.6</v>
      </c>
      <c r="L27" s="153">
        <f t="shared" si="20"/>
        <v>719.6</v>
      </c>
      <c r="M27" s="155">
        <f t="shared" si="21"/>
        <v>9.5</v>
      </c>
      <c r="N27" s="155">
        <f t="shared" si="22"/>
        <v>15485</v>
      </c>
      <c r="O27" s="156">
        <v>5407613000</v>
      </c>
      <c r="P27" s="157" t="s">
        <v>76</v>
      </c>
      <c r="Q27" s="157" t="s">
        <v>77</v>
      </c>
      <c r="R27" s="158" t="s">
        <v>106</v>
      </c>
      <c r="S27" s="159" t="s">
        <v>128</v>
      </c>
      <c r="T27" s="139" t="s">
        <v>107</v>
      </c>
      <c r="U27" s="160">
        <v>35</v>
      </c>
      <c r="V27" s="160">
        <v>1.44</v>
      </c>
      <c r="W27" s="165">
        <v>2347.1999999999998</v>
      </c>
      <c r="X27" s="161">
        <v>1630</v>
      </c>
      <c r="Y27" s="162">
        <v>9.5</v>
      </c>
      <c r="Z27" s="126">
        <f t="shared" si="10"/>
        <v>15485</v>
      </c>
      <c r="AA27" s="163">
        <v>684.6</v>
      </c>
      <c r="AB27" s="164">
        <v>719.59500000000003</v>
      </c>
      <c r="AC27" s="135" t="s">
        <v>91</v>
      </c>
      <c r="AD27" s="134" t="s">
        <v>113</v>
      </c>
      <c r="AE27" s="130">
        <v>45742</v>
      </c>
      <c r="AF27" s="130">
        <v>47548</v>
      </c>
      <c r="AG27" s="133" t="s">
        <v>1</v>
      </c>
    </row>
    <row r="28" spans="2:134" s="162" customFormat="1" ht="75.75" customHeight="1">
      <c r="B28" s="148">
        <v>6</v>
      </c>
      <c r="C28" s="149">
        <f t="shared" si="13"/>
        <v>6</v>
      </c>
      <c r="D28" s="150" t="str">
        <f t="shared" si="14"/>
        <v>Solo 794</v>
      </c>
      <c r="E28" s="151" t="str">
        <f t="shared" si="15"/>
        <v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v>
      </c>
      <c r="F28" s="152" t="str">
        <f t="shared" si="16"/>
        <v>5407610000</v>
      </c>
      <c r="G28" s="152">
        <f t="shared" si="17"/>
        <v>5407730000</v>
      </c>
      <c r="H28" s="153">
        <f t="shared" si="18"/>
        <v>302.89999999999998</v>
      </c>
      <c r="I28" s="153">
        <f t="shared" si="12"/>
        <v>1.48</v>
      </c>
      <c r="J28" s="154">
        <f t="shared" si="23"/>
        <v>448.29199999999997</v>
      </c>
      <c r="K28" s="153">
        <f t="shared" si="19"/>
        <v>99.96</v>
      </c>
      <c r="L28" s="153">
        <f t="shared" si="20"/>
        <v>106.64</v>
      </c>
      <c r="M28" s="155">
        <f t="shared" si="21"/>
        <v>19</v>
      </c>
      <c r="N28" s="155">
        <f t="shared" si="22"/>
        <v>5755.1</v>
      </c>
      <c r="O28" s="156">
        <v>5407730000</v>
      </c>
      <c r="P28" s="157" t="s">
        <v>76</v>
      </c>
      <c r="Q28" s="157" t="s">
        <v>77</v>
      </c>
      <c r="R28" s="158" t="s">
        <v>118</v>
      </c>
      <c r="S28" s="159" t="s">
        <v>129</v>
      </c>
      <c r="T28" s="139" t="s">
        <v>107</v>
      </c>
      <c r="U28" s="160">
        <v>6</v>
      </c>
      <c r="V28" s="160">
        <v>1.48</v>
      </c>
      <c r="W28" s="141">
        <v>448.29199999999997</v>
      </c>
      <c r="X28" s="161">
        <v>302.89999999999998</v>
      </c>
      <c r="Y28" s="162">
        <v>19</v>
      </c>
      <c r="Z28" s="126">
        <f t="shared" si="10"/>
        <v>5755.0999999999995</v>
      </c>
      <c r="AA28" s="163">
        <v>99.957000000000008</v>
      </c>
      <c r="AB28" s="164">
        <v>106.6446</v>
      </c>
      <c r="AC28" s="135" t="s">
        <v>91</v>
      </c>
      <c r="AD28" s="134" t="s">
        <v>113</v>
      </c>
      <c r="AE28" s="130">
        <v>45742</v>
      </c>
      <c r="AF28" s="130">
        <v>47548</v>
      </c>
      <c r="AG28" s="133" t="s">
        <v>1</v>
      </c>
    </row>
    <row r="29" spans="2:134" s="162" customFormat="1" ht="67.5" customHeight="1">
      <c r="B29" s="148">
        <v>7</v>
      </c>
      <c r="C29" s="149">
        <f t="shared" si="13"/>
        <v>7</v>
      </c>
      <c r="D29" s="150" t="str">
        <f t="shared" si="14"/>
        <v>Solo 992</v>
      </c>
      <c r="E29" s="151" t="str">
        <f t="shared" si="15"/>
        <v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v>
      </c>
      <c r="F29" s="152" t="str">
        <f t="shared" si="16"/>
        <v>5407610000</v>
      </c>
      <c r="G29" s="152">
        <f t="shared" si="17"/>
        <v>5407730000</v>
      </c>
      <c r="H29" s="153">
        <f t="shared" si="18"/>
        <v>344.1</v>
      </c>
      <c r="I29" s="153">
        <f t="shared" si="12"/>
        <v>1.48</v>
      </c>
      <c r="J29" s="154">
        <f t="shared" si="23"/>
        <v>509.26800000000003</v>
      </c>
      <c r="K29" s="153">
        <f t="shared" si="19"/>
        <v>113.55</v>
      </c>
      <c r="L29" s="153">
        <f t="shared" si="20"/>
        <v>121.36</v>
      </c>
      <c r="M29" s="155">
        <f t="shared" si="21"/>
        <v>19</v>
      </c>
      <c r="N29" s="155">
        <f t="shared" si="22"/>
        <v>6537.9</v>
      </c>
      <c r="O29" s="156">
        <v>5407730000</v>
      </c>
      <c r="P29" s="157" t="s">
        <v>76</v>
      </c>
      <c r="Q29" s="157" t="s">
        <v>77</v>
      </c>
      <c r="R29" s="158" t="s">
        <v>118</v>
      </c>
      <c r="S29" s="159" t="s">
        <v>115</v>
      </c>
      <c r="T29" s="139" t="s">
        <v>107</v>
      </c>
      <c r="U29" s="160">
        <v>7</v>
      </c>
      <c r="V29" s="160">
        <v>1.48</v>
      </c>
      <c r="W29" s="141">
        <v>509.26800000000003</v>
      </c>
      <c r="X29" s="161">
        <v>344.1</v>
      </c>
      <c r="Y29" s="162">
        <v>19</v>
      </c>
      <c r="Z29" s="126">
        <f t="shared" si="10"/>
        <v>6537.9000000000005</v>
      </c>
      <c r="AA29" s="163">
        <v>113.55300000000001</v>
      </c>
      <c r="AB29" s="164">
        <v>121.3552</v>
      </c>
      <c r="AC29" s="135" t="s">
        <v>91</v>
      </c>
      <c r="AD29" s="134" t="s">
        <v>113</v>
      </c>
      <c r="AE29" s="130">
        <v>45742</v>
      </c>
      <c r="AF29" s="130">
        <v>47548</v>
      </c>
      <c r="AG29" s="133" t="s">
        <v>1</v>
      </c>
    </row>
    <row r="30" spans="2:134" s="162" customFormat="1" ht="65.25" customHeight="1">
      <c r="B30" s="148">
        <v>8</v>
      </c>
      <c r="C30" s="149">
        <f t="shared" si="13"/>
        <v>26</v>
      </c>
      <c r="D30" s="150" t="str">
        <f t="shared" si="14"/>
        <v>Danco 100</v>
      </c>
      <c r="E30" s="151" t="str">
        <f t="shared" si="15"/>
        <v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v>
      </c>
      <c r="F30" s="152" t="str">
        <f t="shared" si="16"/>
        <v>5801330000</v>
      </c>
      <c r="G30" s="152">
        <f t="shared" si="17"/>
        <v>5407613000</v>
      </c>
      <c r="H30" s="153">
        <f t="shared" si="18"/>
        <v>1268.5</v>
      </c>
      <c r="I30" s="153">
        <f t="shared" si="12"/>
        <v>1.42</v>
      </c>
      <c r="J30" s="154">
        <f t="shared" si="23"/>
        <v>1801.27</v>
      </c>
      <c r="K30" s="153">
        <f t="shared" si="19"/>
        <v>558.14</v>
      </c>
      <c r="L30" s="153">
        <f t="shared" si="20"/>
        <v>584.25</v>
      </c>
      <c r="M30" s="155">
        <f t="shared" si="21"/>
        <v>12.1</v>
      </c>
      <c r="N30" s="155">
        <f t="shared" si="22"/>
        <v>15348.85</v>
      </c>
      <c r="O30" s="156">
        <v>5407613000</v>
      </c>
      <c r="P30" s="157" t="s">
        <v>76</v>
      </c>
      <c r="Q30" s="157" t="s">
        <v>77</v>
      </c>
      <c r="R30" s="158" t="s">
        <v>111</v>
      </c>
      <c r="S30" s="159" t="s">
        <v>116</v>
      </c>
      <c r="T30" s="139" t="s">
        <v>112</v>
      </c>
      <c r="U30" s="160">
        <v>26</v>
      </c>
      <c r="V30" s="160">
        <v>1.42</v>
      </c>
      <c r="W30" s="141">
        <v>1801.27</v>
      </c>
      <c r="X30" s="161">
        <v>1268.5</v>
      </c>
      <c r="Y30" s="162">
        <v>12.1</v>
      </c>
      <c r="Z30" s="126">
        <f t="shared" si="10"/>
        <v>15348.85</v>
      </c>
      <c r="AA30" s="163">
        <v>558.13999999999987</v>
      </c>
      <c r="AB30" s="164">
        <v>584.24659999999994</v>
      </c>
      <c r="AC30" s="135" t="s">
        <v>91</v>
      </c>
      <c r="AD30" s="134" t="s">
        <v>113</v>
      </c>
      <c r="AE30" s="130">
        <v>45742</v>
      </c>
      <c r="AF30" s="130">
        <v>47548</v>
      </c>
      <c r="AG30" s="133" t="s">
        <v>1</v>
      </c>
    </row>
    <row r="31" spans="2:134" s="87" customFormat="1" ht="65.25" customHeight="1">
      <c r="B31" s="145">
        <v>9</v>
      </c>
      <c r="C31" s="120">
        <f t="shared" si="13"/>
        <v>11</v>
      </c>
      <c r="D31" s="129" t="str">
        <f t="shared" si="14"/>
        <v>Danco 297</v>
      </c>
      <c r="E31" s="104" t="str">
        <f t="shared" si="15"/>
        <v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v>
      </c>
      <c r="F31" s="121" t="str">
        <f t="shared" si="16"/>
        <v>5801330000</v>
      </c>
      <c r="G31" s="121">
        <f t="shared" si="17"/>
        <v>5407613000</v>
      </c>
      <c r="H31" s="94">
        <f t="shared" si="18"/>
        <v>535.70000000000005</v>
      </c>
      <c r="I31" s="94">
        <f t="shared" si="12"/>
        <v>1.42</v>
      </c>
      <c r="J31" s="98">
        <f t="shared" si="23"/>
        <v>760.69400000000007</v>
      </c>
      <c r="K31" s="94">
        <f t="shared" si="19"/>
        <v>235.71</v>
      </c>
      <c r="L31" s="94">
        <f t="shared" si="20"/>
        <v>246.75</v>
      </c>
      <c r="M31" s="93">
        <f t="shared" si="21"/>
        <v>12.1</v>
      </c>
      <c r="N31" s="93">
        <f t="shared" si="22"/>
        <v>6481.97</v>
      </c>
      <c r="O31" s="156">
        <v>5407613000</v>
      </c>
      <c r="P31" s="137" t="s">
        <v>76</v>
      </c>
      <c r="Q31" s="137" t="s">
        <v>77</v>
      </c>
      <c r="R31" s="158" t="s">
        <v>111</v>
      </c>
      <c r="S31" t="s">
        <v>114</v>
      </c>
      <c r="T31" s="139" t="s">
        <v>112</v>
      </c>
      <c r="U31" s="140">
        <v>11</v>
      </c>
      <c r="V31" s="160">
        <v>1.42</v>
      </c>
      <c r="W31" s="141">
        <v>760.69400000000007</v>
      </c>
      <c r="X31" s="142">
        <v>535.70000000000005</v>
      </c>
      <c r="Y31" s="162">
        <v>12.1</v>
      </c>
      <c r="Z31" s="126">
        <f t="shared" si="10"/>
        <v>6481.97</v>
      </c>
      <c r="AA31" s="131">
        <v>235.70799999999997</v>
      </c>
      <c r="AB31" s="132">
        <v>246.75310000000002</v>
      </c>
      <c r="AC31" s="135" t="s">
        <v>91</v>
      </c>
      <c r="AD31" s="134" t="s">
        <v>113</v>
      </c>
      <c r="AE31" s="130">
        <v>45742</v>
      </c>
      <c r="AF31" s="130">
        <v>47548</v>
      </c>
      <c r="AG31" s="133" t="s">
        <v>1</v>
      </c>
    </row>
    <row r="32" spans="2:134" s="87" customFormat="1" ht="65.25" customHeight="1">
      <c r="B32" s="145">
        <v>10</v>
      </c>
      <c r="C32" s="120">
        <f t="shared" si="13"/>
        <v>7</v>
      </c>
      <c r="D32" s="129" t="str">
        <f t="shared" si="14"/>
        <v>Oscar 978</v>
      </c>
      <c r="E32" s="104" t="str">
        <f t="shared" si="15"/>
        <v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v>
      </c>
      <c r="F32" s="121" t="str">
        <f t="shared" si="16"/>
        <v>5801360000</v>
      </c>
      <c r="G32" s="121">
        <f t="shared" si="17"/>
        <v>5801360000</v>
      </c>
      <c r="H32" s="94">
        <f t="shared" si="18"/>
        <v>308.8</v>
      </c>
      <c r="I32" s="94">
        <f t="shared" si="12"/>
        <v>1.43</v>
      </c>
      <c r="J32" s="98">
        <f t="shared" si="23"/>
        <v>441.584</v>
      </c>
      <c r="K32" s="94">
        <f t="shared" si="19"/>
        <v>197.63</v>
      </c>
      <c r="L32" s="94">
        <f t="shared" si="20"/>
        <v>205</v>
      </c>
      <c r="M32" s="93">
        <f t="shared" si="21"/>
        <v>22.9</v>
      </c>
      <c r="N32" s="93">
        <f t="shared" si="22"/>
        <v>7071.52</v>
      </c>
      <c r="O32" s="156">
        <v>5801360000</v>
      </c>
      <c r="P32" s="137" t="s">
        <v>76</v>
      </c>
      <c r="Q32" s="137" t="s">
        <v>77</v>
      </c>
      <c r="R32" s="158" t="s">
        <v>109</v>
      </c>
      <c r="S32" t="s">
        <v>130</v>
      </c>
      <c r="T32" s="139" t="s">
        <v>108</v>
      </c>
      <c r="U32" s="140">
        <v>7</v>
      </c>
      <c r="V32" s="160">
        <v>1.43</v>
      </c>
      <c r="W32" s="141">
        <v>441.584</v>
      </c>
      <c r="X32" s="142">
        <v>308.8</v>
      </c>
      <c r="Y32" s="162">
        <v>22.9</v>
      </c>
      <c r="Z32" s="126">
        <f t="shared" si="10"/>
        <v>7071.5199999999995</v>
      </c>
      <c r="AA32" s="131">
        <v>197.63200000000001</v>
      </c>
      <c r="AB32" s="132">
        <v>205.00230000000002</v>
      </c>
      <c r="AC32" s="135" t="s">
        <v>91</v>
      </c>
      <c r="AD32" s="134" t="s">
        <v>110</v>
      </c>
      <c r="AE32" s="130">
        <v>44957</v>
      </c>
      <c r="AF32" s="130">
        <v>46775</v>
      </c>
      <c r="AG32" s="133" t="s">
        <v>1</v>
      </c>
    </row>
    <row r="33" spans="2:196" s="87" customFormat="1" ht="65.25" customHeight="1">
      <c r="B33" s="145">
        <v>11</v>
      </c>
      <c r="C33" s="120">
        <f t="shared" si="13"/>
        <v>28</v>
      </c>
      <c r="D33" s="129" t="str">
        <f t="shared" si="14"/>
        <v>Umbra 110</v>
      </c>
      <c r="E33" s="104" t="str">
        <f t="shared" si="15"/>
        <v>Upholstery fabric, chenille,  made from: polyester - 100%. Ткань мебельная обивочная ворсовая из химических синельных нитей, состав: 100% полиэстер</v>
      </c>
      <c r="F33" s="121" t="str">
        <f t="shared" si="16"/>
        <v>5801360000</v>
      </c>
      <c r="G33" s="121">
        <f t="shared" si="17"/>
        <v>5801360000</v>
      </c>
      <c r="H33" s="94">
        <f t="shared" si="18"/>
        <v>1001.6</v>
      </c>
      <c r="I33" s="94">
        <f t="shared" si="12"/>
        <v>1.42</v>
      </c>
      <c r="J33" s="98">
        <f t="shared" si="23"/>
        <v>1422.2719999999999</v>
      </c>
      <c r="K33" s="94">
        <f t="shared" si="19"/>
        <v>480.77</v>
      </c>
      <c r="L33" s="94">
        <f t="shared" si="20"/>
        <v>510</v>
      </c>
      <c r="M33" s="93">
        <f t="shared" si="21"/>
        <v>12.4</v>
      </c>
      <c r="N33" s="93">
        <f t="shared" si="22"/>
        <v>12419.84</v>
      </c>
      <c r="O33" s="156">
        <v>5801360000</v>
      </c>
      <c r="P33" s="137" t="s">
        <v>76</v>
      </c>
      <c r="Q33" s="137" t="s">
        <v>77</v>
      </c>
      <c r="R33" s="158" t="s">
        <v>119</v>
      </c>
      <c r="S33" t="s">
        <v>131</v>
      </c>
      <c r="T33" s="139" t="s">
        <v>108</v>
      </c>
      <c r="U33" s="140">
        <v>28</v>
      </c>
      <c r="V33" s="160">
        <v>1.42</v>
      </c>
      <c r="W33" s="141">
        <v>1422.2719999999999</v>
      </c>
      <c r="X33" s="142">
        <v>1001.6</v>
      </c>
      <c r="Y33" s="162">
        <v>12.4</v>
      </c>
      <c r="Z33" s="126">
        <f t="shared" si="10"/>
        <v>12419.84</v>
      </c>
      <c r="AA33" s="131">
        <v>480.76799999999992</v>
      </c>
      <c r="AB33" s="132">
        <v>509.99719999999991</v>
      </c>
      <c r="AC33" s="135" t="s">
        <v>91</v>
      </c>
      <c r="AD33" s="134" t="s">
        <v>110</v>
      </c>
      <c r="AE33" s="130">
        <v>44957</v>
      </c>
      <c r="AF33" s="130">
        <v>46775</v>
      </c>
      <c r="AG33" s="133" t="s">
        <v>1</v>
      </c>
    </row>
    <row r="34" spans="2:196" s="87" customFormat="1" ht="71.650000000000006" customHeight="1">
      <c r="B34" s="145">
        <v>12</v>
      </c>
      <c r="C34" s="120">
        <f t="shared" ref="C34:C35" si="24">U34</f>
        <v>10</v>
      </c>
      <c r="D34" s="129" t="str">
        <f t="shared" ref="D34:D35" si="25">S34</f>
        <v>Lambre 402</v>
      </c>
      <c r="E34" s="104" t="str">
        <f t="shared" ref="E34:E35" si="26">R34</f>
        <v>Knitting upholstery fabric with weft pile,  made from: polyester - 100%. Полотно ворсовое трикотажное из химических нитей, с уточным ворсом, для обивки мебели. Состав: Полиэстер-100%</v>
      </c>
      <c r="F34" s="121" t="str">
        <f t="shared" ref="F34:F35" si="27">T34</f>
        <v>6001920000</v>
      </c>
      <c r="G34" s="121">
        <f t="shared" ref="G34:G35" si="28">O34</f>
        <v>6001920000</v>
      </c>
      <c r="H34" s="94">
        <f t="shared" ref="H34:H35" si="29">X34</f>
        <v>423.2</v>
      </c>
      <c r="I34" s="94">
        <f t="shared" si="12"/>
        <v>1.42</v>
      </c>
      <c r="J34" s="98">
        <f>W34</f>
        <v>600.94399999999996</v>
      </c>
      <c r="K34" s="94">
        <f t="shared" ref="K34:K35" si="30">ROUND(AA34,2)</f>
        <v>304.7</v>
      </c>
      <c r="L34" s="94">
        <f>ROUND(AB34,2)</f>
        <v>315.85000000000002</v>
      </c>
      <c r="M34" s="93">
        <f t="shared" ref="M34:M35" si="31">Y34</f>
        <v>24.6</v>
      </c>
      <c r="N34" s="93">
        <f t="shared" ref="N34:N35" si="32">ROUND(Z34,2)</f>
        <v>10410.719999999999</v>
      </c>
      <c r="O34" s="156">
        <v>6001920000</v>
      </c>
      <c r="P34" s="137" t="s">
        <v>76</v>
      </c>
      <c r="Q34" s="137" t="s">
        <v>77</v>
      </c>
      <c r="R34" s="158" t="s">
        <v>94</v>
      </c>
      <c r="S34" t="s">
        <v>132</v>
      </c>
      <c r="T34" s="139" t="s">
        <v>97</v>
      </c>
      <c r="U34" s="140">
        <v>10</v>
      </c>
      <c r="V34" s="160">
        <v>1.42</v>
      </c>
      <c r="W34" s="141">
        <v>600.94399999999996</v>
      </c>
      <c r="X34" s="142">
        <v>423.2</v>
      </c>
      <c r="Y34" s="162">
        <v>24.6</v>
      </c>
      <c r="Z34" s="126">
        <f t="shared" si="10"/>
        <v>10410.720000000001</v>
      </c>
      <c r="AA34" s="131">
        <v>304.70400000000001</v>
      </c>
      <c r="AB34" s="132">
        <v>315.85200000000003</v>
      </c>
      <c r="AC34" s="135" t="s">
        <v>91</v>
      </c>
      <c r="AD34" s="134" t="s">
        <v>95</v>
      </c>
      <c r="AE34" s="130">
        <v>44957</v>
      </c>
      <c r="AF34" s="130">
        <v>46775</v>
      </c>
      <c r="AG34" s="133" t="s">
        <v>1</v>
      </c>
    </row>
    <row r="35" spans="2:196" s="87" customFormat="1" ht="70.900000000000006" customHeight="1">
      <c r="B35" s="145">
        <v>13</v>
      </c>
      <c r="C35" s="120">
        <f t="shared" si="24"/>
        <v>17</v>
      </c>
      <c r="D35" s="129" t="str">
        <f t="shared" si="25"/>
        <v>Lambre 740</v>
      </c>
      <c r="E35" s="104" t="str">
        <f t="shared" si="26"/>
        <v>Knitting upholstery fabric with weft pile,  made from: polyester - 100%. Полотно ворсовое трикотажное из химических нитей, с уточным ворсом, для обивки мебели. Состав: Полиэстер-100%</v>
      </c>
      <c r="F35" s="121" t="str">
        <f t="shared" si="27"/>
        <v>6001920000</v>
      </c>
      <c r="G35" s="121">
        <f t="shared" si="28"/>
        <v>6001920000</v>
      </c>
      <c r="H35" s="94">
        <f t="shared" si="29"/>
        <v>722.5</v>
      </c>
      <c r="I35" s="94">
        <f t="shared" si="12"/>
        <v>1.42</v>
      </c>
      <c r="J35" s="98">
        <f t="shared" ref="J35" si="33">W35</f>
        <v>1025.95</v>
      </c>
      <c r="K35" s="94">
        <f t="shared" si="30"/>
        <v>520.20000000000005</v>
      </c>
      <c r="L35" s="94">
        <f t="shared" ref="L35" si="34">ROUND(AB35,2)</f>
        <v>539.15</v>
      </c>
      <c r="M35" s="93">
        <f t="shared" si="31"/>
        <v>24.6</v>
      </c>
      <c r="N35" s="93">
        <f t="shared" si="32"/>
        <v>17773.5</v>
      </c>
      <c r="O35" s="136">
        <v>6001920000</v>
      </c>
      <c r="P35" s="137" t="s">
        <v>76</v>
      </c>
      <c r="Q35" s="137" t="s">
        <v>77</v>
      </c>
      <c r="R35" s="138" t="s">
        <v>94</v>
      </c>
      <c r="S35" t="s">
        <v>133</v>
      </c>
      <c r="T35" s="139" t="s">
        <v>97</v>
      </c>
      <c r="U35" s="140">
        <v>17</v>
      </c>
      <c r="V35" s="140">
        <v>1.42</v>
      </c>
      <c r="W35" s="141">
        <v>1025.95</v>
      </c>
      <c r="X35" s="142">
        <v>722.5</v>
      </c>
      <c r="Y35" s="87">
        <v>24.6</v>
      </c>
      <c r="Z35" s="126">
        <f t="shared" si="10"/>
        <v>17773.5</v>
      </c>
      <c r="AA35" s="131">
        <v>520.19999999999993</v>
      </c>
      <c r="AB35" s="132">
        <v>539.15160000000003</v>
      </c>
      <c r="AC35" s="135" t="s">
        <v>91</v>
      </c>
      <c r="AD35" s="134" t="s">
        <v>95</v>
      </c>
      <c r="AE35" s="130">
        <v>44957</v>
      </c>
      <c r="AF35" s="130">
        <v>46775</v>
      </c>
      <c r="AG35" s="133" t="s">
        <v>1</v>
      </c>
    </row>
    <row r="36" spans="2:196" ht="19.5" customHeight="1">
      <c r="B36" s="95" t="s">
        <v>70</v>
      </c>
      <c r="C36" s="96">
        <f>SUM(C23:C35)</f>
        <v>263</v>
      </c>
      <c r="D36" s="96"/>
      <c r="E36" s="97"/>
      <c r="F36" s="79"/>
      <c r="G36" s="79"/>
      <c r="H36" s="90">
        <f>SUM(H23:H35)</f>
        <v>11671.6</v>
      </c>
      <c r="I36" s="89"/>
      <c r="J36" s="143">
        <f>SUM(J23:J35)</f>
        <v>16719.409</v>
      </c>
      <c r="K36" s="90">
        <f>SUM(K23:K35)</f>
        <v>6026.26</v>
      </c>
      <c r="L36" s="90">
        <f>SUM(L23:L35)</f>
        <v>6300</v>
      </c>
      <c r="M36" s="91"/>
      <c r="N36" s="90">
        <f>SUM(N23:N35)</f>
        <v>188362.5</v>
      </c>
      <c r="O36" s="92"/>
      <c r="P36" s="92"/>
      <c r="Q36" s="92"/>
      <c r="R36" s="127"/>
      <c r="T36" s="92"/>
      <c r="U36" s="7"/>
      <c r="V36" s="92"/>
      <c r="W36" s="92"/>
      <c r="X36" s="99"/>
      <c r="Y36" s="92"/>
      <c r="Z36" s="92"/>
      <c r="AA36" s="92"/>
      <c r="AB36" s="92"/>
      <c r="AC36" s="92"/>
      <c r="AD36" s="92"/>
      <c r="AE36" s="92"/>
      <c r="AF36" s="92"/>
      <c r="AG36" s="92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</row>
    <row r="37" spans="2:196" ht="24" customHeight="1">
      <c r="B37" s="34"/>
      <c r="C37" s="34"/>
      <c r="D37" s="34"/>
      <c r="E37" s="53"/>
      <c r="F37" s="35"/>
      <c r="G37" s="35"/>
      <c r="H37" s="36"/>
      <c r="I37" s="36"/>
      <c r="J37" s="67"/>
      <c r="K37" s="58"/>
      <c r="L37" s="75"/>
      <c r="M37" s="36"/>
      <c r="N37" s="67"/>
      <c r="O37" s="7"/>
      <c r="P37" s="7"/>
      <c r="Q37" s="7"/>
      <c r="R37" s="122"/>
      <c r="T37" s="7"/>
      <c r="U37" s="7"/>
      <c r="V37" s="7"/>
      <c r="W37" s="7"/>
      <c r="X37" s="99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</row>
    <row r="38" spans="2:196" ht="16.5" customHeight="1">
      <c r="C38" s="37" t="s">
        <v>16</v>
      </c>
      <c r="D38" s="37"/>
      <c r="E38" s="54"/>
      <c r="F38" s="38"/>
      <c r="G38" s="38"/>
      <c r="H38"/>
      <c r="I38" s="37" t="s">
        <v>17</v>
      </c>
      <c r="J38" s="68"/>
      <c r="K38" s="39"/>
      <c r="L38" s="76"/>
      <c r="M38" s="39"/>
      <c r="N38" s="68"/>
      <c r="O38"/>
      <c r="P38"/>
      <c r="Q38"/>
      <c r="R38" s="124"/>
      <c r="T38"/>
      <c r="U38" s="7"/>
      <c r="V38" s="7"/>
      <c r="W38" s="7"/>
      <c r="X38" s="99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</row>
    <row r="39" spans="2:196" ht="21" customHeight="1">
      <c r="C39" s="182" t="s">
        <v>1</v>
      </c>
      <c r="D39" s="182"/>
      <c r="E39" s="182"/>
      <c r="F39" s="40"/>
      <c r="G39" s="40"/>
      <c r="H39"/>
      <c r="I39" s="183" t="s">
        <v>18</v>
      </c>
      <c r="J39" s="183"/>
      <c r="K39" s="183"/>
      <c r="L39" s="183"/>
      <c r="M39" s="183"/>
      <c r="N39" s="183"/>
      <c r="O39"/>
      <c r="P39"/>
      <c r="Q39"/>
      <c r="R39" s="124"/>
      <c r="T39"/>
      <c r="U39" s="7"/>
      <c r="V39" s="7"/>
      <c r="W39" s="7"/>
      <c r="X39" s="99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</row>
    <row r="40" spans="2:196" ht="18" customHeight="1">
      <c r="C40" s="184" t="s">
        <v>19</v>
      </c>
      <c r="D40" s="184"/>
      <c r="E40" s="184"/>
      <c r="F40" s="42"/>
      <c r="G40" s="42"/>
      <c r="H40"/>
      <c r="I40" s="184" t="s">
        <v>20</v>
      </c>
      <c r="J40" s="184"/>
      <c r="K40" s="184"/>
      <c r="L40" s="184"/>
      <c r="M40" s="184"/>
      <c r="N40" s="184"/>
      <c r="O40"/>
      <c r="P40"/>
      <c r="Q40"/>
      <c r="R40" s="124"/>
      <c r="T40"/>
      <c r="U40" s="7"/>
      <c r="V40" s="7"/>
      <c r="W40" s="7"/>
      <c r="X40" s="99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</row>
    <row r="41" spans="2:196" ht="12.75" customHeight="1">
      <c r="C41" s="184" t="s">
        <v>21</v>
      </c>
      <c r="D41" s="184"/>
      <c r="E41" s="184"/>
      <c r="F41" s="42"/>
      <c r="G41" s="42"/>
      <c r="H41"/>
      <c r="I41" s="184" t="s">
        <v>21</v>
      </c>
      <c r="J41" s="184"/>
      <c r="K41" s="184"/>
      <c r="L41" s="184"/>
      <c r="M41" s="184"/>
      <c r="N41" s="184"/>
      <c r="O41"/>
      <c r="P41"/>
      <c r="Q41"/>
      <c r="R41" s="124"/>
      <c r="T41"/>
      <c r="U41" s="7"/>
      <c r="V41" s="7"/>
      <c r="W41" s="7"/>
      <c r="X41" s="99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</row>
    <row r="42" spans="2:196" ht="25.5" customHeight="1">
      <c r="C42" s="184" t="s">
        <v>96</v>
      </c>
      <c r="D42" s="184"/>
      <c r="E42" s="184"/>
      <c r="F42" s="42"/>
      <c r="G42" s="42"/>
      <c r="H42"/>
      <c r="I42" s="184" t="s">
        <v>22</v>
      </c>
      <c r="J42" s="184"/>
      <c r="K42" s="184"/>
      <c r="L42" s="184"/>
      <c r="M42" s="184"/>
      <c r="N42" s="184"/>
      <c r="O42"/>
      <c r="P42"/>
      <c r="Q42"/>
      <c r="R42" s="124"/>
      <c r="T42"/>
      <c r="U42" s="7"/>
      <c r="V42" s="7"/>
      <c r="W42" s="7"/>
      <c r="X42" s="99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</row>
    <row r="43" spans="2:196" ht="15.75" customHeight="1">
      <c r="C43" s="185" t="s">
        <v>23</v>
      </c>
      <c r="D43" s="185"/>
      <c r="E43" s="185"/>
      <c r="F43" s="38"/>
      <c r="G43" s="38"/>
      <c r="H43"/>
      <c r="I43" s="184" t="s">
        <v>24</v>
      </c>
      <c r="J43" s="184"/>
      <c r="K43" s="184"/>
      <c r="L43" s="184"/>
      <c r="M43" s="184"/>
      <c r="N43" s="184"/>
      <c r="O43"/>
      <c r="P43"/>
      <c r="Q43"/>
      <c r="R43" s="124"/>
      <c r="T43"/>
      <c r="U43" s="7"/>
      <c r="V43" s="7"/>
      <c r="W43" s="7"/>
      <c r="X43" s="99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</row>
    <row r="44" spans="2:196" ht="18.75" customHeight="1">
      <c r="C44" s="186" t="s">
        <v>25</v>
      </c>
      <c r="D44" s="186"/>
      <c r="E44" s="186"/>
      <c r="F44" s="43"/>
      <c r="G44" s="43"/>
      <c r="H44"/>
      <c r="I44" s="187" t="s">
        <v>26</v>
      </c>
      <c r="J44" s="187"/>
      <c r="K44" s="187"/>
      <c r="L44" s="187"/>
      <c r="M44" s="39"/>
      <c r="N44" s="68"/>
      <c r="O44"/>
      <c r="P44"/>
      <c r="Q44"/>
      <c r="R44" s="124"/>
      <c r="T44"/>
      <c r="U44" s="7"/>
      <c r="V44" s="7"/>
      <c r="W44" s="7"/>
      <c r="X44" s="99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</row>
    <row r="45" spans="2:196" ht="16.5" customHeight="1">
      <c r="C45" s="185" t="s">
        <v>27</v>
      </c>
      <c r="D45" s="185"/>
      <c r="E45" s="185"/>
      <c r="F45" s="42"/>
      <c r="G45" s="42"/>
      <c r="H45"/>
      <c r="I45" s="184" t="s">
        <v>28</v>
      </c>
      <c r="J45" s="184"/>
      <c r="K45" s="184"/>
      <c r="L45" s="184"/>
      <c r="M45" s="184"/>
      <c r="N45" s="184"/>
      <c r="O45"/>
      <c r="P45"/>
      <c r="Q45"/>
      <c r="R45" s="124"/>
      <c r="T45"/>
      <c r="U45" s="7"/>
      <c r="V45" s="7"/>
      <c r="W45" s="7"/>
      <c r="X45" s="99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</row>
    <row r="46" spans="2:196" ht="19.5" customHeight="1">
      <c r="C46" s="189" t="s">
        <v>50</v>
      </c>
      <c r="D46" s="189"/>
      <c r="E46" s="189"/>
      <c r="F46" s="42"/>
      <c r="G46" s="42"/>
      <c r="H46"/>
      <c r="I46" s="188" t="s">
        <v>29</v>
      </c>
      <c r="J46" s="188"/>
      <c r="K46" s="188"/>
      <c r="L46" s="188"/>
      <c r="M46" s="188"/>
      <c r="N46" s="188"/>
      <c r="O46"/>
      <c r="P46"/>
      <c r="Q46"/>
      <c r="R46" s="124"/>
      <c r="T46"/>
      <c r="U46" s="7"/>
      <c r="V46" s="7"/>
      <c r="W46" s="7"/>
      <c r="X46" s="99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</row>
    <row r="47" spans="2:196" ht="17.25" customHeight="1">
      <c r="C47" s="184" t="s">
        <v>30</v>
      </c>
      <c r="D47" s="184"/>
      <c r="E47" s="184"/>
      <c r="F47" s="42"/>
      <c r="G47" s="42"/>
      <c r="H47"/>
      <c r="I47" s="184" t="s">
        <v>30</v>
      </c>
      <c r="J47" s="184"/>
      <c r="K47" s="184"/>
      <c r="L47" s="184"/>
      <c r="M47" s="184"/>
      <c r="N47" s="184"/>
      <c r="O47"/>
      <c r="P47"/>
      <c r="Q47"/>
      <c r="R47" s="124"/>
      <c r="T47"/>
      <c r="U47" s="7"/>
      <c r="V47" s="7"/>
      <c r="W47" s="7"/>
      <c r="X47" s="99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</row>
    <row r="48" spans="2:196" ht="18" customHeight="1">
      <c r="C48" s="184" t="s">
        <v>31</v>
      </c>
      <c r="D48" s="184"/>
      <c r="E48" s="184"/>
      <c r="F48" s="42"/>
      <c r="G48" s="42"/>
      <c r="H48"/>
      <c r="I48" s="184" t="s">
        <v>32</v>
      </c>
      <c r="J48" s="184"/>
      <c r="K48" s="184"/>
      <c r="L48" s="184"/>
      <c r="M48" s="184"/>
      <c r="N48" s="184"/>
      <c r="O48" s="7"/>
      <c r="P48" s="7"/>
      <c r="Q48" s="7"/>
      <c r="R48" s="122"/>
      <c r="T48" s="7"/>
      <c r="U48" s="7"/>
      <c r="V48" s="7"/>
      <c r="W48" s="7"/>
      <c r="X48" s="99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</row>
    <row r="49" spans="3:196" ht="12.75" customHeight="1">
      <c r="C49" s="184" t="s">
        <v>33</v>
      </c>
      <c r="D49" s="184"/>
      <c r="E49" s="184"/>
      <c r="F49" s="42"/>
      <c r="G49" s="42"/>
      <c r="H49"/>
      <c r="I49" s="184" t="s">
        <v>33</v>
      </c>
      <c r="J49" s="184"/>
      <c r="K49" s="184"/>
      <c r="L49" s="184"/>
      <c r="M49" s="184"/>
      <c r="N49" s="184"/>
      <c r="O49" s="7"/>
      <c r="P49" s="7"/>
      <c r="Q49" s="7"/>
      <c r="R49" s="122"/>
      <c r="T49" s="7"/>
      <c r="U49" s="7"/>
      <c r="V49" s="7"/>
      <c r="W49" s="7"/>
      <c r="X49" s="99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</row>
    <row r="50" spans="3:196" ht="16.05" customHeight="1">
      <c r="C50" s="184" t="s">
        <v>34</v>
      </c>
      <c r="D50" s="184"/>
      <c r="E50" s="184"/>
      <c r="F50" s="42"/>
      <c r="G50" s="42"/>
      <c r="H50" s="45"/>
      <c r="I50" s="184" t="s">
        <v>34</v>
      </c>
      <c r="J50" s="184"/>
      <c r="K50" s="184"/>
      <c r="L50" s="184"/>
      <c r="M50" s="184"/>
      <c r="N50" s="184"/>
      <c r="O50" s="7"/>
      <c r="P50" s="7"/>
      <c r="Q50" s="7"/>
      <c r="R50" s="122"/>
      <c r="T50" s="7"/>
      <c r="U50" s="7"/>
      <c r="V50" s="7"/>
      <c r="W50" s="7"/>
      <c r="X50" s="99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</row>
    <row r="51" spans="3:196" ht="16.05" customHeight="1">
      <c r="C51" s="184" t="s">
        <v>35</v>
      </c>
      <c r="D51" s="184"/>
      <c r="E51" s="184"/>
      <c r="F51" s="42"/>
      <c r="G51" s="42"/>
      <c r="H51" s="45"/>
      <c r="I51" s="184" t="s">
        <v>35</v>
      </c>
      <c r="J51" s="184"/>
      <c r="K51" s="184"/>
      <c r="L51" s="184"/>
      <c r="M51" s="184"/>
      <c r="N51" s="184"/>
      <c r="O51" s="7"/>
      <c r="P51" s="7"/>
      <c r="Q51" s="7"/>
      <c r="R51" s="105"/>
      <c r="T51" s="7"/>
      <c r="U51" s="7"/>
      <c r="V51" s="7"/>
      <c r="W51" s="7"/>
      <c r="X51" s="7"/>
      <c r="Y51" s="7"/>
      <c r="Z51" s="122"/>
      <c r="AA51" s="7"/>
      <c r="AB51" s="7"/>
      <c r="AC51" s="7"/>
      <c r="AD51" s="7"/>
      <c r="AE51" s="7"/>
      <c r="AF51" s="99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</row>
    <row r="52" spans="3:196" ht="16.05" customHeight="1">
      <c r="C52" s="184" t="s">
        <v>36</v>
      </c>
      <c r="D52" s="184"/>
      <c r="E52" s="184"/>
      <c r="F52" s="42"/>
      <c r="G52" s="42"/>
      <c r="H52" s="45"/>
      <c r="I52" s="184" t="s">
        <v>36</v>
      </c>
      <c r="J52" s="184"/>
      <c r="K52" s="184"/>
      <c r="L52" s="184"/>
      <c r="M52" s="184"/>
      <c r="N52" s="184"/>
      <c r="O52" s="7"/>
      <c r="P52" s="7"/>
      <c r="Q52" s="7"/>
      <c r="R52" s="105"/>
      <c r="T52" s="7"/>
      <c r="U52" s="7"/>
      <c r="V52" s="7"/>
      <c r="W52" s="7"/>
      <c r="X52" s="7"/>
      <c r="Y52" s="7"/>
      <c r="Z52" s="122"/>
      <c r="AA52" s="7"/>
      <c r="AB52" s="7"/>
      <c r="AC52" s="7"/>
      <c r="AD52" s="7"/>
      <c r="AE52" s="7"/>
      <c r="AF52" s="99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</row>
    <row r="53" spans="3:196" ht="17.25" customHeight="1">
      <c r="C53" s="184" t="s">
        <v>37</v>
      </c>
      <c r="D53" s="184"/>
      <c r="E53" s="184"/>
      <c r="F53" s="42"/>
      <c r="G53" s="42"/>
      <c r="H53" s="45"/>
      <c r="I53" s="184" t="s">
        <v>37</v>
      </c>
      <c r="J53" s="184"/>
      <c r="K53" s="184"/>
      <c r="L53" s="184"/>
      <c r="M53" s="184"/>
      <c r="N53" s="184"/>
      <c r="O53" s="7"/>
      <c r="P53" s="7"/>
      <c r="Q53" s="7"/>
      <c r="R53" s="105"/>
      <c r="T53" s="7"/>
      <c r="U53" s="7"/>
      <c r="V53" s="7"/>
      <c r="W53" s="7"/>
      <c r="X53" s="7"/>
      <c r="Y53" s="7"/>
      <c r="Z53" s="122"/>
      <c r="AA53" s="7"/>
      <c r="AB53" s="7"/>
      <c r="AC53" s="7"/>
      <c r="AD53" s="7"/>
      <c r="AE53" s="7"/>
      <c r="AF53" s="99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</row>
    <row r="54" spans="3:196" ht="13.5" customHeight="1">
      <c r="C54" s="184" t="s">
        <v>38</v>
      </c>
      <c r="D54" s="184"/>
      <c r="E54" s="184"/>
      <c r="F54" s="42"/>
      <c r="G54" s="42"/>
      <c r="H54" s="45"/>
      <c r="I54" s="184" t="s">
        <v>38</v>
      </c>
      <c r="J54" s="184"/>
      <c r="K54" s="184"/>
      <c r="L54" s="184"/>
      <c r="M54" s="184"/>
      <c r="N54" s="184"/>
      <c r="O54" s="7"/>
      <c r="P54" s="7"/>
      <c r="Q54" s="7"/>
      <c r="R54" s="105"/>
      <c r="T54" s="7"/>
      <c r="U54" s="7"/>
      <c r="V54" s="7"/>
      <c r="W54" s="7"/>
      <c r="X54" s="7"/>
      <c r="Y54" s="7"/>
      <c r="Z54" s="122"/>
      <c r="AA54" s="7"/>
      <c r="AB54" s="7"/>
      <c r="AC54" s="7"/>
      <c r="AD54" s="7"/>
      <c r="AE54" s="7"/>
      <c r="AF54" s="99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</row>
    <row r="55" spans="3:196" ht="15.75" customHeight="1">
      <c r="C55" s="184" t="s">
        <v>39</v>
      </c>
      <c r="D55" s="184"/>
      <c r="E55" s="184"/>
      <c r="F55" s="42"/>
      <c r="G55" s="42"/>
      <c r="H55" s="45"/>
      <c r="I55" s="184" t="s">
        <v>39</v>
      </c>
      <c r="J55" s="184"/>
      <c r="K55" s="184"/>
      <c r="L55" s="184"/>
      <c r="M55" s="184"/>
      <c r="N55" s="184"/>
      <c r="O55" s="7"/>
      <c r="P55" s="7"/>
      <c r="Q55" s="7"/>
      <c r="R55" s="105"/>
      <c r="T55" s="7"/>
      <c r="U55" s="7"/>
      <c r="V55" s="7"/>
      <c r="W55" s="7"/>
      <c r="X55" s="7"/>
      <c r="Y55" s="7"/>
      <c r="Z55" s="122"/>
      <c r="AA55" s="7"/>
      <c r="AB55" s="7"/>
      <c r="AC55" s="7"/>
      <c r="AD55" s="7"/>
      <c r="AE55" s="7"/>
      <c r="AF55" s="99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</row>
    <row r="56" spans="3:196" ht="17.25" customHeight="1">
      <c r="C56" s="46"/>
      <c r="D56" s="46"/>
      <c r="E56" s="54"/>
      <c r="F56" s="38"/>
      <c r="G56" s="38"/>
      <c r="H56" s="45"/>
      <c r="I56" s="41"/>
      <c r="J56" s="68"/>
      <c r="K56" s="39"/>
      <c r="L56" s="76"/>
      <c r="M56" s="39"/>
      <c r="N56" s="68"/>
      <c r="O56" s="7"/>
      <c r="P56" s="7"/>
      <c r="Q56" s="7"/>
      <c r="R56" s="105"/>
      <c r="T56" s="7"/>
      <c r="U56" s="7"/>
      <c r="V56" s="7"/>
      <c r="W56" s="7"/>
      <c r="X56" s="7"/>
      <c r="Y56" s="7"/>
      <c r="Z56" s="122"/>
      <c r="AA56" s="7"/>
      <c r="AB56" s="7"/>
      <c r="AC56" s="7"/>
      <c r="AD56" s="7"/>
      <c r="AE56" s="7"/>
      <c r="AF56" s="99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</row>
    <row r="57" spans="3:196" ht="21" customHeight="1">
      <c r="C57" s="184" t="s">
        <v>40</v>
      </c>
      <c r="D57" s="184"/>
      <c r="E57" s="184"/>
      <c r="F57" s="42"/>
      <c r="G57" s="42"/>
      <c r="H57" s="45"/>
      <c r="I57" s="184" t="s">
        <v>41</v>
      </c>
      <c r="J57" s="184"/>
      <c r="K57" s="184"/>
      <c r="L57" s="184"/>
      <c r="M57" s="184"/>
      <c r="N57" s="184"/>
      <c r="O57" s="7"/>
      <c r="P57" s="7"/>
      <c r="Q57" s="7"/>
      <c r="R57" s="105"/>
      <c r="T57" s="7"/>
      <c r="U57" s="7"/>
      <c r="V57" s="7"/>
      <c r="W57" s="7"/>
      <c r="X57" s="7"/>
      <c r="Y57" s="7"/>
      <c r="Z57" s="122"/>
      <c r="AA57" s="7"/>
      <c r="AB57" s="7"/>
      <c r="AC57" s="7"/>
      <c r="AD57" s="7"/>
      <c r="AE57" s="7"/>
      <c r="AF57" s="99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</row>
    <row r="58" spans="3:196" ht="23.25" customHeight="1">
      <c r="C58" s="46"/>
      <c r="D58" s="46"/>
      <c r="E58" s="54"/>
      <c r="F58" s="38"/>
      <c r="G58" s="38"/>
      <c r="H58" s="45"/>
      <c r="I58" s="46"/>
      <c r="J58" s="68"/>
      <c r="K58" s="39"/>
      <c r="L58" s="76"/>
      <c r="M58" s="39"/>
      <c r="N58" s="68"/>
      <c r="O58" s="7"/>
      <c r="P58" s="7"/>
      <c r="Q58" s="7"/>
      <c r="R58" s="105"/>
      <c r="T58" s="7"/>
      <c r="U58" s="7"/>
      <c r="V58" s="7"/>
      <c r="W58" s="7"/>
      <c r="X58" s="7"/>
      <c r="Y58" s="7"/>
      <c r="Z58" s="122"/>
      <c r="AA58" s="7"/>
      <c r="AB58" s="7"/>
      <c r="AC58" s="7"/>
      <c r="AD58" s="7"/>
      <c r="AE58" s="7"/>
      <c r="AF58" s="99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</row>
    <row r="59" spans="3:196" ht="17.25" customHeight="1">
      <c r="C59" s="166" t="s">
        <v>42</v>
      </c>
      <c r="D59" s="166"/>
      <c r="E59" s="166"/>
      <c r="F59" s="38"/>
      <c r="G59" s="38"/>
      <c r="H59" s="45"/>
      <c r="I59" s="37" t="s">
        <v>43</v>
      </c>
      <c r="J59" s="68"/>
      <c r="K59" s="39"/>
      <c r="L59" s="76"/>
      <c r="M59" s="39"/>
      <c r="N59" s="68"/>
      <c r="O59" s="7"/>
      <c r="P59" s="7"/>
      <c r="Q59" s="7"/>
      <c r="R59" s="105"/>
      <c r="T59" s="7"/>
      <c r="U59" s="7"/>
      <c r="V59" s="7"/>
      <c r="W59" s="7"/>
      <c r="X59" s="7"/>
      <c r="Y59" s="7"/>
      <c r="Z59" s="122"/>
      <c r="AA59" s="7"/>
      <c r="AB59" s="7"/>
      <c r="AC59" s="7"/>
      <c r="AD59" s="7"/>
      <c r="AE59" s="7"/>
      <c r="AF59" s="99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</row>
    <row r="60" spans="3:196" ht="17.25" customHeight="1">
      <c r="C60" s="188" t="s">
        <v>44</v>
      </c>
      <c r="D60" s="188"/>
      <c r="E60" s="188"/>
      <c r="F60" s="38"/>
      <c r="G60" s="38"/>
      <c r="H60" s="45"/>
      <c r="I60" s="184" t="s">
        <v>45</v>
      </c>
      <c r="J60" s="184"/>
      <c r="K60" s="184"/>
      <c r="L60" s="184"/>
      <c r="M60" s="184"/>
      <c r="N60" s="184"/>
      <c r="O60" s="7"/>
      <c r="P60" s="7"/>
      <c r="Q60" s="7"/>
      <c r="R60" s="105"/>
      <c r="T60" s="7"/>
      <c r="U60" s="7"/>
      <c r="V60" s="7"/>
      <c r="W60" s="7"/>
      <c r="X60" s="7"/>
      <c r="Y60" s="7"/>
      <c r="Z60" s="122"/>
      <c r="AA60" s="7"/>
      <c r="AB60" s="7"/>
      <c r="AC60" s="7"/>
      <c r="AD60" s="7"/>
      <c r="AE60" s="7"/>
      <c r="AF60" s="99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</row>
    <row r="61" spans="3:196" ht="29.25" customHeight="1">
      <c r="C61" s="184" t="s">
        <v>102</v>
      </c>
      <c r="D61" s="184"/>
      <c r="E61" s="184"/>
      <c r="F61" s="42"/>
      <c r="G61" s="42"/>
      <c r="H61" s="45"/>
      <c r="I61" s="184" t="s">
        <v>104</v>
      </c>
      <c r="J61" s="184"/>
      <c r="K61" s="184"/>
      <c r="L61" s="184"/>
      <c r="M61" s="184"/>
      <c r="N61" s="184"/>
      <c r="O61" s="7"/>
      <c r="P61" s="7"/>
      <c r="Q61" s="7"/>
      <c r="R61" s="105"/>
      <c r="T61" s="7"/>
      <c r="U61" s="7"/>
      <c r="V61" s="7"/>
      <c r="W61" s="7"/>
      <c r="X61" s="7"/>
      <c r="Y61" s="7"/>
      <c r="Z61" s="122"/>
      <c r="AA61" s="7"/>
      <c r="AB61" s="7"/>
      <c r="AC61" s="7"/>
      <c r="AD61" s="7"/>
      <c r="AE61" s="7"/>
      <c r="AF61" s="99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</row>
    <row r="62" spans="3:196" ht="17.25" customHeight="1">
      <c r="C62" s="190" t="s">
        <v>46</v>
      </c>
      <c r="D62" s="190"/>
      <c r="E62" s="190"/>
      <c r="F62" s="38"/>
      <c r="G62" s="38"/>
      <c r="H62" s="45"/>
      <c r="I62" s="184" t="s">
        <v>47</v>
      </c>
      <c r="J62" s="184"/>
      <c r="K62" s="184"/>
      <c r="L62" s="184"/>
      <c r="M62" s="184"/>
      <c r="N62" s="184"/>
      <c r="O62" s="7"/>
      <c r="P62" s="7"/>
      <c r="Q62" s="7"/>
      <c r="R62" s="105"/>
      <c r="T62" s="7"/>
      <c r="U62" s="7"/>
      <c r="V62" s="7"/>
      <c r="W62" s="7"/>
      <c r="X62" s="7"/>
      <c r="Y62" s="7"/>
      <c r="Z62" s="122"/>
      <c r="AA62" s="7"/>
      <c r="AB62" s="7"/>
      <c r="AC62" s="7"/>
      <c r="AD62" s="7"/>
      <c r="AE62" s="7"/>
      <c r="AF62" s="99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</row>
    <row r="63" spans="3:196" ht="17.25" customHeight="1">
      <c r="C63" s="190" t="s">
        <v>48</v>
      </c>
      <c r="D63" s="190"/>
      <c r="E63" s="190"/>
      <c r="F63" s="38"/>
      <c r="G63" s="38"/>
      <c r="H63" s="45"/>
      <c r="I63" s="184" t="s">
        <v>49</v>
      </c>
      <c r="J63" s="184"/>
      <c r="K63" s="184"/>
      <c r="L63" s="184"/>
      <c r="M63" s="184"/>
      <c r="N63" s="184"/>
      <c r="AD63" s="7"/>
      <c r="AE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</row>
    <row r="64" spans="3:196" ht="17.25" customHeight="1">
      <c r="C64" s="190" t="s">
        <v>103</v>
      </c>
      <c r="D64" s="190"/>
      <c r="E64" s="190"/>
      <c r="F64" s="38"/>
      <c r="G64" s="38"/>
      <c r="H64" s="45"/>
      <c r="I64" s="184" t="s">
        <v>105</v>
      </c>
      <c r="J64" s="184"/>
      <c r="K64" s="184"/>
      <c r="L64" s="184"/>
      <c r="M64" s="184"/>
      <c r="N64" s="184"/>
      <c r="AD64" s="7"/>
      <c r="AE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</row>
    <row r="65" spans="3:206" ht="13.5" customHeight="1">
      <c r="C65" s="189" t="s">
        <v>50</v>
      </c>
      <c r="D65" s="189"/>
      <c r="E65" s="189"/>
      <c r="F65" s="38"/>
      <c r="G65" s="38"/>
      <c r="H65" s="45"/>
      <c r="I65" s="188" t="s">
        <v>29</v>
      </c>
      <c r="J65" s="188"/>
      <c r="K65" s="188"/>
      <c r="L65" s="188"/>
      <c r="M65" s="188"/>
      <c r="N65" s="188"/>
      <c r="AD65" s="7"/>
      <c r="AE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</row>
    <row r="66" spans="3:206" ht="17.25" customHeight="1">
      <c r="C66" s="184" t="s">
        <v>51</v>
      </c>
      <c r="D66" s="184"/>
      <c r="E66" s="184"/>
      <c r="F66" s="42"/>
      <c r="G66" s="42"/>
      <c r="H66" s="45"/>
      <c r="I66" s="184" t="s">
        <v>52</v>
      </c>
      <c r="J66" s="184"/>
      <c r="K66" s="184"/>
      <c r="L66" s="184"/>
      <c r="M66" s="184"/>
      <c r="N66" s="184"/>
      <c r="AD66" s="7"/>
      <c r="AE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</row>
    <row r="67" spans="3:206" ht="17.25" customHeight="1">
      <c r="C67" s="190" t="s">
        <v>53</v>
      </c>
      <c r="D67" s="190"/>
      <c r="E67" s="190"/>
      <c r="F67" s="38"/>
      <c r="G67" s="38"/>
      <c r="H67" s="45"/>
      <c r="I67" s="184" t="s">
        <v>54</v>
      </c>
      <c r="J67" s="184"/>
      <c r="K67" s="184"/>
      <c r="L67" s="184"/>
      <c r="M67" s="184"/>
      <c r="N67" s="184"/>
      <c r="AD67" s="7"/>
      <c r="AE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</row>
    <row r="68" spans="3:206" ht="17.25" customHeight="1">
      <c r="C68" s="184" t="s">
        <v>55</v>
      </c>
      <c r="D68" s="184"/>
      <c r="E68" s="184"/>
      <c r="F68" s="38"/>
      <c r="G68" s="38"/>
      <c r="H68" s="45"/>
      <c r="I68" s="184" t="s">
        <v>56</v>
      </c>
      <c r="J68" s="184"/>
      <c r="K68" s="184"/>
      <c r="L68" s="184"/>
      <c r="M68" s="184"/>
      <c r="N68" s="184"/>
      <c r="AD68" s="7"/>
      <c r="AE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</row>
    <row r="69" spans="3:206" ht="15.75" customHeight="1">
      <c r="C69" s="184" t="s">
        <v>57</v>
      </c>
      <c r="D69" s="184"/>
      <c r="E69" s="184"/>
      <c r="F69" s="38"/>
      <c r="G69" s="38"/>
      <c r="H69" s="45"/>
      <c r="I69" s="184" t="s">
        <v>58</v>
      </c>
      <c r="J69" s="184"/>
      <c r="K69" s="184"/>
      <c r="L69" s="184"/>
      <c r="M69" s="184"/>
      <c r="N69" s="184"/>
      <c r="AD69" s="7"/>
      <c r="AE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</row>
    <row r="70" spans="3:206" ht="17.25" customHeight="1">
      <c r="C70" s="184" t="s">
        <v>59</v>
      </c>
      <c r="D70" s="184"/>
      <c r="E70" s="184"/>
      <c r="F70" s="42"/>
      <c r="G70" s="42"/>
      <c r="H70" s="45"/>
      <c r="I70" s="184" t="s">
        <v>59</v>
      </c>
      <c r="J70" s="184"/>
      <c r="K70" s="184"/>
      <c r="L70" s="184"/>
      <c r="M70" s="184"/>
      <c r="N70" s="184"/>
      <c r="AD70" s="7"/>
      <c r="AE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</row>
    <row r="71" spans="3:206" ht="18.75" customHeight="1">
      <c r="C71" s="184" t="s">
        <v>60</v>
      </c>
      <c r="D71" s="184"/>
      <c r="E71" s="184"/>
      <c r="F71" s="42"/>
      <c r="G71" s="42"/>
      <c r="H71" s="45"/>
      <c r="I71" s="184" t="s">
        <v>60</v>
      </c>
      <c r="J71" s="184"/>
      <c r="K71" s="184"/>
      <c r="L71" s="184"/>
      <c r="M71" s="184"/>
      <c r="N71" s="184"/>
      <c r="AD71" s="7"/>
      <c r="AE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</row>
    <row r="72" spans="3:206" ht="15" customHeight="1">
      <c r="C72" s="184" t="s">
        <v>61</v>
      </c>
      <c r="D72" s="184"/>
      <c r="E72" s="184"/>
      <c r="F72" s="42"/>
      <c r="G72" s="42"/>
      <c r="H72" s="45"/>
      <c r="I72" s="184" t="s">
        <v>61</v>
      </c>
      <c r="J72" s="184"/>
      <c r="K72" s="184"/>
      <c r="L72" s="184"/>
      <c r="M72" s="184"/>
      <c r="N72" s="184"/>
      <c r="AD72" s="7"/>
      <c r="AE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</row>
    <row r="73" spans="3:206" ht="17.25" customHeight="1">
      <c r="C73" s="190" t="s">
        <v>62</v>
      </c>
      <c r="D73" s="190"/>
      <c r="E73" s="190"/>
      <c r="F73" s="38"/>
      <c r="G73" s="38"/>
      <c r="H73" s="45"/>
      <c r="I73" s="184" t="s">
        <v>62</v>
      </c>
      <c r="J73" s="184"/>
      <c r="K73" s="184"/>
      <c r="L73" s="184"/>
      <c r="M73" s="184"/>
      <c r="N73" s="184"/>
      <c r="AD73" s="7"/>
      <c r="AE73" s="7"/>
      <c r="AG73" s="7"/>
      <c r="GO73" s="5"/>
      <c r="GP73" s="5"/>
      <c r="GQ73" s="5"/>
    </row>
    <row r="74" spans="3:206" ht="17.25" customHeight="1">
      <c r="C74" s="184" t="s">
        <v>63</v>
      </c>
      <c r="D74" s="184"/>
      <c r="E74" s="184"/>
      <c r="F74" s="42"/>
      <c r="G74" s="42"/>
      <c r="H74" s="45"/>
      <c r="I74" s="184" t="s">
        <v>63</v>
      </c>
      <c r="J74" s="184"/>
      <c r="K74" s="184"/>
      <c r="L74" s="184"/>
      <c r="M74" s="184"/>
      <c r="N74" s="184"/>
      <c r="AD74" s="7"/>
      <c r="AE74" s="7"/>
      <c r="AG74" s="7"/>
      <c r="GO74" s="5"/>
      <c r="GP74" s="5"/>
      <c r="GQ74" s="5"/>
      <c r="GR74" s="5"/>
      <c r="GS74" s="5"/>
      <c r="GT74" s="5"/>
      <c r="GU74" s="5"/>
      <c r="GV74" s="5"/>
      <c r="GW74" s="5"/>
      <c r="GX74" s="5"/>
    </row>
    <row r="75" spans="3:206" ht="17.25" customHeight="1">
      <c r="C75" s="184" t="s">
        <v>64</v>
      </c>
      <c r="D75" s="184"/>
      <c r="E75" s="184"/>
      <c r="F75" s="42"/>
      <c r="G75" s="42"/>
      <c r="H75" s="45"/>
      <c r="I75" s="184" t="s">
        <v>64</v>
      </c>
      <c r="J75" s="184"/>
      <c r="K75" s="184"/>
      <c r="L75" s="184"/>
      <c r="M75" s="184"/>
      <c r="N75" s="184"/>
      <c r="AD75" s="7"/>
      <c r="AE75" s="7"/>
      <c r="AG75" s="7"/>
      <c r="GO75" s="5"/>
      <c r="GP75" s="5"/>
      <c r="GQ75" s="5"/>
      <c r="GR75" s="5"/>
      <c r="GS75" s="5"/>
      <c r="GT75" s="5"/>
      <c r="GU75" s="5"/>
    </row>
    <row r="76" spans="3:206" ht="17.25" customHeight="1">
      <c r="C76" s="41"/>
      <c r="D76" s="41"/>
      <c r="E76" s="54"/>
      <c r="F76" s="38"/>
      <c r="G76" s="38"/>
      <c r="H76" s="45"/>
      <c r="I76" s="41"/>
      <c r="J76" s="68"/>
      <c r="K76" s="39"/>
      <c r="L76" s="76"/>
      <c r="M76" s="39"/>
      <c r="N76" s="68"/>
      <c r="AD76" s="7"/>
      <c r="AE76" s="7"/>
      <c r="AG76" s="7"/>
    </row>
    <row r="77" spans="3:206" ht="17.25" customHeight="1">
      <c r="C77" s="41"/>
      <c r="D77" s="41"/>
      <c r="E77" s="54"/>
      <c r="F77" s="38"/>
      <c r="G77" s="38"/>
      <c r="H77" s="45"/>
      <c r="I77" s="41"/>
      <c r="J77" s="68"/>
      <c r="K77" s="39"/>
      <c r="L77" s="76"/>
      <c r="M77" s="39"/>
      <c r="N77" s="68"/>
      <c r="AD77" s="7"/>
      <c r="AE77" s="7"/>
      <c r="AG77" s="7"/>
    </row>
    <row r="78" spans="3:206" ht="17.25" customHeight="1">
      <c r="C78" s="184" t="s">
        <v>71</v>
      </c>
      <c r="D78" s="184"/>
      <c r="E78" s="184"/>
      <c r="F78" s="42"/>
      <c r="G78" s="42"/>
      <c r="H78" s="45"/>
      <c r="I78" s="184" t="s">
        <v>72</v>
      </c>
      <c r="J78" s="184"/>
      <c r="K78" s="184"/>
      <c r="L78" s="184"/>
      <c r="M78" s="184"/>
      <c r="N78" s="184"/>
      <c r="AD78" s="7"/>
      <c r="AE78" s="7"/>
      <c r="AG78" s="7"/>
    </row>
    <row r="79" spans="3:206" ht="17.25" customHeight="1">
      <c r="C79"/>
      <c r="D79"/>
      <c r="E79" s="46"/>
      <c r="F79"/>
      <c r="G79"/>
      <c r="H79"/>
      <c r="I79"/>
      <c r="J79" s="69"/>
      <c r="K79" s="59"/>
      <c r="L79" s="77"/>
      <c r="M79"/>
      <c r="N79" s="69"/>
    </row>
    <row r="80" spans="3:206" ht="17.25" customHeight="1">
      <c r="C80"/>
      <c r="D80"/>
      <c r="E80" s="46"/>
      <c r="F80"/>
      <c r="G80"/>
      <c r="H80"/>
      <c r="I80"/>
      <c r="J80" s="69"/>
      <c r="K80" s="59"/>
      <c r="L80" s="77"/>
      <c r="M80"/>
      <c r="N80" s="69"/>
    </row>
    <row r="81" spans="3:13" ht="17.25" customHeight="1">
      <c r="C81" s="5"/>
      <c r="D81" s="5"/>
      <c r="M81" s="47"/>
    </row>
  </sheetData>
  <autoFilter ref="A22:GX49" xr:uid="{00000000-0009-0000-0000-000000000000}"/>
  <mergeCells count="85">
    <mergeCell ref="C78:E78"/>
    <mergeCell ref="I78:N78"/>
    <mergeCell ref="C73:E73"/>
    <mergeCell ref="C70:E70"/>
    <mergeCell ref="I70:N70"/>
    <mergeCell ref="C71:E71"/>
    <mergeCell ref="I71:N71"/>
    <mergeCell ref="C72:E72"/>
    <mergeCell ref="I72:N72"/>
    <mergeCell ref="I73:N73"/>
    <mergeCell ref="C74:E74"/>
    <mergeCell ref="I74:N74"/>
    <mergeCell ref="C75:E75"/>
    <mergeCell ref="I75:N75"/>
    <mergeCell ref="I67:N67"/>
    <mergeCell ref="C68:E68"/>
    <mergeCell ref="I68:N68"/>
    <mergeCell ref="C69:E69"/>
    <mergeCell ref="I69:N69"/>
    <mergeCell ref="C67:E67"/>
    <mergeCell ref="C57:E57"/>
    <mergeCell ref="I57:N57"/>
    <mergeCell ref="C66:E66"/>
    <mergeCell ref="I66:N66"/>
    <mergeCell ref="C60:E60"/>
    <mergeCell ref="I60:N60"/>
    <mergeCell ref="C61:E61"/>
    <mergeCell ref="I61:N61"/>
    <mergeCell ref="I62:N62"/>
    <mergeCell ref="I63:N63"/>
    <mergeCell ref="I64:N64"/>
    <mergeCell ref="I65:N65"/>
    <mergeCell ref="C62:E62"/>
    <mergeCell ref="C63:E63"/>
    <mergeCell ref="C64:E64"/>
    <mergeCell ref="C65:E65"/>
    <mergeCell ref="C53:E53"/>
    <mergeCell ref="I53:N53"/>
    <mergeCell ref="C54:E54"/>
    <mergeCell ref="I54:N54"/>
    <mergeCell ref="C55:E55"/>
    <mergeCell ref="I55:N55"/>
    <mergeCell ref="C50:E50"/>
    <mergeCell ref="I50:N50"/>
    <mergeCell ref="C51:E51"/>
    <mergeCell ref="I51:N51"/>
    <mergeCell ref="C52:E52"/>
    <mergeCell ref="I52:N52"/>
    <mergeCell ref="C46:E46"/>
    <mergeCell ref="C48:E48"/>
    <mergeCell ref="I48:N48"/>
    <mergeCell ref="C49:E49"/>
    <mergeCell ref="I49:N49"/>
    <mergeCell ref="I39:N39"/>
    <mergeCell ref="C40:E40"/>
    <mergeCell ref="I40:N40"/>
    <mergeCell ref="C47:E47"/>
    <mergeCell ref="I47:N47"/>
    <mergeCell ref="C41:E41"/>
    <mergeCell ref="I41:N41"/>
    <mergeCell ref="C42:E42"/>
    <mergeCell ref="I42:N42"/>
    <mergeCell ref="C43:E43"/>
    <mergeCell ref="I43:N43"/>
    <mergeCell ref="C44:E44"/>
    <mergeCell ref="I44:L44"/>
    <mergeCell ref="C45:E45"/>
    <mergeCell ref="I45:N45"/>
    <mergeCell ref="I46:N46"/>
    <mergeCell ref="C59:E59"/>
    <mergeCell ref="M10:N10"/>
    <mergeCell ref="B1:N1"/>
    <mergeCell ref="B2:N2"/>
    <mergeCell ref="B3:N3"/>
    <mergeCell ref="B4:N4"/>
    <mergeCell ref="B7:N7"/>
    <mergeCell ref="I13:N13"/>
    <mergeCell ref="I14:N14"/>
    <mergeCell ref="I15:M15"/>
    <mergeCell ref="I16:N17"/>
    <mergeCell ref="B16:G16"/>
    <mergeCell ref="B17:G17"/>
    <mergeCell ref="I18:N18"/>
    <mergeCell ref="I19:N19"/>
    <mergeCell ref="C39:E39"/>
  </mergeCells>
  <hyperlinks>
    <hyperlink ref="B4" r:id="rId1" xr:uid="{00000000-0004-0000-0000-000000000000}"/>
    <hyperlink ref="C44" r:id="rId2" display="http://www.zhongfanghz.cn/" xr:uid="{00000000-0004-0000-0000-000001000000}"/>
    <hyperlink ref="I44" r:id="rId3" display="http://www.zhongfanghz.cn/" xr:uid="{00000000-0004-0000-0000-000002000000}"/>
  </hyperlinks>
  <pageMargins left="0.25" right="0.25" top="0.75" bottom="0.75" header="0.3" footer="0.3"/>
  <pageSetup paperSize="9" scale="68" fitToHeight="0" orientation="landscape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defaultRowHeight="17.25" customHeight="1"/>
  <cols>
    <col min="1" max="1" width="4.3125" customWidth="1"/>
    <col min="2" max="2" width="4.8125" customWidth="1"/>
    <col min="3" max="3" width="8.5625" style="2" hidden="1" customWidth="1"/>
    <col min="4" max="4" width="17" style="2" customWidth="1"/>
    <col min="5" max="5" width="85" style="55" customWidth="1"/>
    <col min="6" max="6" width="13.8125" style="1" customWidth="1"/>
    <col min="7" max="7" width="10.75" style="1" customWidth="1"/>
    <col min="8" max="8" width="9.8125" style="3" hidden="1" customWidth="1"/>
    <col min="9" max="9" width="7.25" style="3" hidden="1" customWidth="1"/>
    <col min="10" max="10" width="10.25" style="70" hidden="1" customWidth="1"/>
    <col min="11" max="11" width="10.25" style="47" hidden="1" customWidth="1"/>
    <col min="12" max="12" width="10.25" style="78" hidden="1" customWidth="1"/>
    <col min="13" max="13" width="8.75" style="4" hidden="1" customWidth="1"/>
    <col min="14" max="14" width="14.0625" style="70" hidden="1" customWidth="1"/>
    <col min="15" max="15" width="9" style="5" customWidth="1"/>
    <col min="16" max="16" width="9.25" style="5" bestFit="1" customWidth="1"/>
    <col min="17" max="18" width="10" style="5" hidden="1" customWidth="1"/>
    <col min="19" max="203" width="9" style="5" customWidth="1"/>
  </cols>
  <sheetData>
    <row r="1" spans="1:141" customFormat="1" ht="25.15">
      <c r="A1" s="6"/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</row>
    <row r="2" spans="1:141" customFormat="1" ht="26.25" customHeight="1">
      <c r="B2" s="171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8" customFormat="1" ht="60.75" customHeight="1">
      <c r="B3" s="173" t="s">
        <v>73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4"/>
    </row>
    <row r="4" spans="1:141" s="8" customFormat="1" ht="15" customHeight="1">
      <c r="B4" s="173" t="s">
        <v>3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</row>
    <row r="5" spans="1:141" customFormat="1" ht="27" customHeight="1">
      <c r="B5" s="193" t="str">
        <f>"DESCRIPTION FOR SPECIFICATION №"&amp;'инвойс 1'!L9&amp;" dd "&amp;'инвойс 1'!L11</f>
        <v>DESCRIPTION FOR SPECIFICATION №ZFRMB26148-626-1 dd Aug.19,2026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4"/>
    </row>
    <row r="6" spans="1:141" s="8" customFormat="1" ht="15.75">
      <c r="B6" s="14" t="s">
        <v>67</v>
      </c>
      <c r="C6" s="14"/>
      <c r="D6" s="14"/>
      <c r="E6" s="50"/>
      <c r="F6" s="14"/>
      <c r="G6" s="14"/>
      <c r="H6" s="14"/>
      <c r="I6" s="14"/>
      <c r="J6" s="65"/>
      <c r="K6" s="16"/>
      <c r="L6" s="73"/>
      <c r="M6" s="167"/>
      <c r="N6" s="168"/>
    </row>
    <row r="7" spans="1:141" s="8" customFormat="1" ht="18" customHeight="1">
      <c r="B7" s="177" t="s">
        <v>99</v>
      </c>
      <c r="C7" s="177"/>
      <c r="D7" s="177"/>
      <c r="E7" s="177"/>
      <c r="F7" s="178"/>
      <c r="G7" s="19"/>
      <c r="H7" s="20"/>
      <c r="I7" s="177"/>
      <c r="J7" s="177"/>
      <c r="K7" s="177"/>
      <c r="L7" s="177"/>
      <c r="M7" s="177"/>
      <c r="N7" s="178"/>
    </row>
    <row r="8" spans="1:141" s="8" customFormat="1" ht="19.5" customHeight="1">
      <c r="B8" s="179" t="s">
        <v>1</v>
      </c>
      <c r="C8" s="179"/>
      <c r="D8" s="179"/>
      <c r="E8" s="179"/>
      <c r="F8" s="180"/>
      <c r="G8" s="19"/>
      <c r="H8" s="20"/>
      <c r="I8" s="179"/>
      <c r="J8" s="179"/>
      <c r="K8" s="179"/>
      <c r="L8" s="179"/>
      <c r="M8" s="179"/>
      <c r="N8" s="180"/>
    </row>
    <row r="9" spans="1:141" s="8" customFormat="1" ht="16.5" customHeight="1">
      <c r="B9" s="177" t="s">
        <v>7</v>
      </c>
      <c r="C9" s="177"/>
      <c r="D9" s="177"/>
      <c r="E9" s="177"/>
      <c r="F9" s="66"/>
      <c r="G9" s="19"/>
      <c r="H9" s="20"/>
      <c r="I9" s="177"/>
      <c r="J9" s="177"/>
      <c r="K9" s="177"/>
      <c r="L9" s="177"/>
      <c r="M9" s="177"/>
      <c r="N9" s="66"/>
    </row>
    <row r="10" spans="1:141" s="8" customFormat="1" ht="34.5" customHeight="1">
      <c r="B10" s="179" t="s">
        <v>73</v>
      </c>
      <c r="C10" s="179"/>
      <c r="D10" s="179"/>
      <c r="E10" s="179"/>
      <c r="F10" s="180"/>
      <c r="G10" s="23"/>
      <c r="H10" s="24"/>
      <c r="I10" s="179"/>
      <c r="J10" s="179"/>
      <c r="K10" s="179"/>
      <c r="L10" s="179"/>
      <c r="M10" s="179"/>
      <c r="N10" s="180"/>
    </row>
    <row r="11" spans="1:141" customFormat="1" ht="11.25" customHeight="1">
      <c r="B11" s="21"/>
      <c r="C11" s="28"/>
      <c r="D11" s="28"/>
      <c r="E11" s="52"/>
      <c r="F11" s="29"/>
      <c r="G11" s="30"/>
      <c r="H11" s="30"/>
      <c r="I11" s="31"/>
      <c r="J11" s="60"/>
      <c r="K11" s="33"/>
      <c r="L11" s="74"/>
      <c r="M11" s="32"/>
      <c r="N11" s="6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</row>
    <row r="12" spans="1:141" s="86" customFormat="1" ht="70.5" customHeight="1">
      <c r="B12" s="79" t="s">
        <v>2</v>
      </c>
      <c r="C12" s="80" t="s">
        <v>75</v>
      </c>
      <c r="D12" s="79" t="s">
        <v>66</v>
      </c>
      <c r="E12" s="80" t="s">
        <v>9</v>
      </c>
      <c r="F12" s="80" t="s">
        <v>10</v>
      </c>
      <c r="G12" s="80" t="s">
        <v>11</v>
      </c>
      <c r="H12" s="81" t="s">
        <v>12</v>
      </c>
      <c r="I12" s="81" t="s">
        <v>13</v>
      </c>
      <c r="J12" s="85" t="s">
        <v>69</v>
      </c>
      <c r="K12" s="83" t="s">
        <v>14</v>
      </c>
      <c r="L12" s="84" t="s">
        <v>15</v>
      </c>
      <c r="M12" s="82" t="s">
        <v>68</v>
      </c>
      <c r="N12" s="85" t="s">
        <v>65</v>
      </c>
    </row>
    <row r="13" spans="1:141" s="87" customFormat="1" ht="78" customHeight="1">
      <c r="B13" s="104">
        <f>'инвойс 1'!B23</f>
        <v>1</v>
      </c>
      <c r="C13" s="104">
        <v>15</v>
      </c>
      <c r="D13" s="104" t="str">
        <f>'инвойс 1'!D23</f>
        <v>Melange 928</v>
      </c>
      <c r="E13" s="104" t="str">
        <f>'инвойс 1'!E23</f>
        <v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v>
      </c>
      <c r="F13" s="104" t="str">
        <f>'инвойс 1'!F23</f>
        <v>5407530000</v>
      </c>
      <c r="G13" s="104" t="str">
        <f>'инвойс 1'!G23</f>
        <v>5407530000</v>
      </c>
      <c r="H13" s="94">
        <v>513.4</v>
      </c>
      <c r="I13" s="94">
        <f>J13/H13</f>
        <v>1.4100000000000001</v>
      </c>
      <c r="J13" s="98">
        <v>723.89400000000001</v>
      </c>
      <c r="K13" s="94">
        <v>415.85</v>
      </c>
      <c r="L13" s="94">
        <v>430</v>
      </c>
      <c r="M13" s="93">
        <v>34.25</v>
      </c>
      <c r="N13" s="93">
        <v>17583.95</v>
      </c>
      <c r="P13" s="88"/>
      <c r="Q13" s="88">
        <f>M13*H13</f>
        <v>17583.95</v>
      </c>
      <c r="R13" s="88">
        <f>ROUND(Q13,2)</f>
        <v>17583.95</v>
      </c>
    </row>
    <row r="14" spans="1:141" s="87" customFormat="1" ht="78" customHeight="1">
      <c r="B14" s="104">
        <f>'инвойс 1'!B24</f>
        <v>2</v>
      </c>
      <c r="C14" s="104">
        <v>15</v>
      </c>
      <c r="D14" s="104" t="str">
        <f>'инвойс 1'!D24</f>
        <v>Noble 110</v>
      </c>
      <c r="E14" s="104" t="str">
        <f>'инвойс 1'!E24</f>
        <v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v>
      </c>
      <c r="F14" s="104" t="str">
        <f>'инвойс 1'!F24</f>
        <v>5407610000</v>
      </c>
      <c r="G14" s="104">
        <f>'инвойс 1'!G24</f>
        <v>5407613000</v>
      </c>
      <c r="H14" s="94"/>
      <c r="I14" s="94"/>
      <c r="J14" s="98"/>
      <c r="K14" s="94"/>
      <c r="L14" s="94"/>
      <c r="M14" s="93"/>
      <c r="N14" s="93"/>
      <c r="P14" s="88"/>
      <c r="Q14" s="88"/>
      <c r="R14" s="88"/>
    </row>
    <row r="15" spans="1:141" s="87" customFormat="1" ht="80.25" customHeight="1">
      <c r="B15" s="104">
        <f>'инвойс 1'!B25</f>
        <v>3</v>
      </c>
      <c r="C15" s="104">
        <v>15</v>
      </c>
      <c r="D15" s="104" t="str">
        <f>'инвойс 1'!D25</f>
        <v>Noble 624</v>
      </c>
      <c r="E15" s="104" t="str">
        <f>'инвойс 1'!E25</f>
        <v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v>
      </c>
      <c r="F15" s="104" t="str">
        <f>'инвойс 1'!F25</f>
        <v>5407610000</v>
      </c>
      <c r="G15" s="104">
        <f>'инвойс 1'!G25</f>
        <v>5407613000</v>
      </c>
      <c r="H15" s="94"/>
      <c r="I15" s="94"/>
      <c r="J15" s="98"/>
      <c r="K15" s="94"/>
      <c r="L15" s="94"/>
      <c r="M15" s="93"/>
      <c r="N15" s="93"/>
      <c r="P15" s="88"/>
      <c r="Q15" s="88"/>
      <c r="R15" s="88"/>
    </row>
    <row r="16" spans="1:141" s="87" customFormat="1" ht="78" customHeight="1">
      <c r="B16" s="104">
        <f>'инвойс 1'!B26</f>
        <v>4</v>
      </c>
      <c r="C16" s="104">
        <v>15</v>
      </c>
      <c r="D16" s="104" t="str">
        <f>'инвойс 1'!D26</f>
        <v>Omega 03</v>
      </c>
      <c r="E16" s="104" t="str">
        <f>'инвойс 1'!E26</f>
        <v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v>
      </c>
      <c r="F16" s="104" t="str">
        <f>'инвойс 1'!F26</f>
        <v>5407610000</v>
      </c>
      <c r="G16" s="104">
        <f>'инвойс 1'!G26</f>
        <v>5407613000</v>
      </c>
      <c r="H16" s="94">
        <v>513.4</v>
      </c>
      <c r="I16" s="94">
        <f>J16/H16</f>
        <v>1.4100000000000001</v>
      </c>
      <c r="J16" s="98">
        <v>723.89400000000001</v>
      </c>
      <c r="K16" s="94">
        <v>415.85</v>
      </c>
      <c r="L16" s="94">
        <v>430</v>
      </c>
      <c r="M16" s="93">
        <v>34.25</v>
      </c>
      <c r="N16" s="93">
        <v>17583.95</v>
      </c>
      <c r="P16" s="88"/>
      <c r="Q16" s="88">
        <f>M16*H16</f>
        <v>17583.95</v>
      </c>
      <c r="R16" s="88">
        <f>ROUND(Q16,2)</f>
        <v>17583.95</v>
      </c>
    </row>
    <row r="17" spans="2:203" s="87" customFormat="1" ht="78" customHeight="1">
      <c r="B17" s="104">
        <f>'инвойс 1'!B27</f>
        <v>5</v>
      </c>
      <c r="C17" s="104">
        <v>15</v>
      </c>
      <c r="D17" s="104" t="str">
        <f>'инвойс 1'!D27</f>
        <v>Omega 62</v>
      </c>
      <c r="E17" s="104" t="str">
        <f>'инвойс 1'!E27</f>
        <v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v>
      </c>
      <c r="F17" s="104" t="str">
        <f>'инвойс 1'!F27</f>
        <v>5407610000</v>
      </c>
      <c r="G17" s="104">
        <f>'инвойс 1'!G27</f>
        <v>5407613000</v>
      </c>
      <c r="H17" s="94"/>
      <c r="I17" s="94"/>
      <c r="J17" s="98"/>
      <c r="K17" s="94"/>
      <c r="L17" s="94"/>
      <c r="M17" s="93"/>
      <c r="N17" s="93"/>
      <c r="P17" s="88"/>
      <c r="Q17" s="88"/>
      <c r="R17" s="88"/>
    </row>
    <row r="18" spans="2:203" s="87" customFormat="1" ht="80.25" customHeight="1">
      <c r="B18" s="104">
        <f>'инвойс 1'!B28</f>
        <v>6</v>
      </c>
      <c r="C18" s="104">
        <v>15</v>
      </c>
      <c r="D18" s="104" t="str">
        <f>'инвойс 1'!D28</f>
        <v>Solo 794</v>
      </c>
      <c r="E18" s="104" t="str">
        <f>'инвойс 1'!E28</f>
        <v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v>
      </c>
      <c r="F18" s="104" t="str">
        <f>'инвойс 1'!F28</f>
        <v>5407610000</v>
      </c>
      <c r="G18" s="104">
        <f>'инвойс 1'!G28</f>
        <v>5407730000</v>
      </c>
      <c r="H18" s="94"/>
      <c r="I18" s="94"/>
      <c r="J18" s="98"/>
      <c r="K18" s="94"/>
      <c r="L18" s="94"/>
      <c r="M18" s="93"/>
      <c r="N18" s="93"/>
      <c r="P18" s="88"/>
      <c r="Q18" s="88"/>
      <c r="R18" s="88"/>
    </row>
    <row r="19" spans="2:203" s="87" customFormat="1" ht="78.75" customHeight="1">
      <c r="B19" s="104">
        <f>'инвойс 1'!B29</f>
        <v>7</v>
      </c>
      <c r="C19" s="104">
        <v>15</v>
      </c>
      <c r="D19" s="104" t="str">
        <f>'инвойс 1'!D29</f>
        <v>Solo 992</v>
      </c>
      <c r="E19" s="104" t="str">
        <f>'инвойс 1'!E29</f>
        <v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v>
      </c>
      <c r="F19" s="104" t="str">
        <f>'инвойс 1'!F29</f>
        <v>5407610000</v>
      </c>
      <c r="G19" s="104">
        <f>'инвойс 1'!G29</f>
        <v>5407730000</v>
      </c>
      <c r="H19" s="94">
        <v>513.4</v>
      </c>
      <c r="I19" s="94">
        <f>J19/H19</f>
        <v>1.4100000000000001</v>
      </c>
      <c r="J19" s="98">
        <v>723.89400000000001</v>
      </c>
      <c r="K19" s="94">
        <v>415.85</v>
      </c>
      <c r="L19" s="94">
        <v>430</v>
      </c>
      <c r="M19" s="93">
        <v>34.25</v>
      </c>
      <c r="N19" s="93">
        <v>17583.95</v>
      </c>
      <c r="P19" s="88"/>
      <c r="Q19" s="88">
        <f>M19*H19</f>
        <v>17583.95</v>
      </c>
      <c r="R19" s="88">
        <f>ROUND(Q19,2)</f>
        <v>17583.95</v>
      </c>
    </row>
    <row r="20" spans="2:203" s="87" customFormat="1" ht="50.25" customHeight="1">
      <c r="B20" s="104">
        <f>'инвойс 1'!B30</f>
        <v>8</v>
      </c>
      <c r="C20" s="104">
        <v>15</v>
      </c>
      <c r="D20" s="104" t="str">
        <f>'инвойс 1'!D30</f>
        <v>Danco 100</v>
      </c>
      <c r="E20" s="104" t="str">
        <f>'инвойс 1'!E30</f>
        <v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v>
      </c>
      <c r="F20" s="104" t="str">
        <f>'инвойс 1'!F30</f>
        <v>5801330000</v>
      </c>
      <c r="G20" s="104">
        <f>'инвойс 1'!G30</f>
        <v>5407613000</v>
      </c>
      <c r="H20" s="94"/>
      <c r="I20" s="94"/>
      <c r="J20" s="98"/>
      <c r="K20" s="94"/>
      <c r="L20" s="94"/>
      <c r="M20" s="93"/>
      <c r="N20" s="93"/>
      <c r="P20" s="88"/>
      <c r="Q20" s="88"/>
      <c r="R20" s="88"/>
    </row>
    <row r="21" spans="2:203" s="87" customFormat="1" ht="50.25" customHeight="1">
      <c r="B21" s="104">
        <f>'инвойс 1'!B31</f>
        <v>9</v>
      </c>
      <c r="C21" s="104">
        <v>15</v>
      </c>
      <c r="D21" s="104" t="str">
        <f>'инвойс 1'!D31</f>
        <v>Danco 297</v>
      </c>
      <c r="E21" s="104" t="str">
        <f>'инвойс 1'!E31</f>
        <v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v>
      </c>
      <c r="F21" s="104" t="str">
        <f>'инвойс 1'!F31</f>
        <v>5801330000</v>
      </c>
      <c r="G21" s="104">
        <f>'инвойс 1'!G31</f>
        <v>5407613000</v>
      </c>
      <c r="H21" s="94"/>
      <c r="I21" s="94"/>
      <c r="J21" s="98"/>
      <c r="K21" s="94"/>
      <c r="L21" s="94"/>
      <c r="M21" s="93"/>
      <c r="N21" s="93"/>
      <c r="P21" s="88"/>
      <c r="Q21" s="88"/>
      <c r="R21" s="88"/>
    </row>
    <row r="22" spans="2:203" s="87" customFormat="1" ht="50.25" customHeight="1">
      <c r="B22" s="104">
        <f>'инвойс 1'!B32</f>
        <v>10</v>
      </c>
      <c r="C22" s="104">
        <v>15</v>
      </c>
      <c r="D22" s="104" t="str">
        <f>'инвойс 1'!D32</f>
        <v>Oscar 978</v>
      </c>
      <c r="E22" s="104" t="str">
        <f>'инвойс 1'!E32</f>
        <v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v>
      </c>
      <c r="F22" s="104" t="str">
        <f>'инвойс 1'!F32</f>
        <v>5801360000</v>
      </c>
      <c r="G22" s="104">
        <f>'инвойс 1'!G32</f>
        <v>5801360000</v>
      </c>
      <c r="H22" s="94"/>
      <c r="I22" s="94"/>
      <c r="J22" s="98"/>
      <c r="K22" s="94"/>
      <c r="L22" s="94"/>
      <c r="M22" s="93"/>
      <c r="N22" s="93"/>
      <c r="P22" s="88"/>
      <c r="Q22" s="88"/>
      <c r="R22" s="88"/>
    </row>
    <row r="23" spans="2:203" s="87" customFormat="1" ht="50.25" customHeight="1">
      <c r="B23" s="104">
        <f>'инвойс 1'!B33</f>
        <v>11</v>
      </c>
      <c r="C23" s="104">
        <v>15</v>
      </c>
      <c r="D23" s="104" t="str">
        <f>'инвойс 1'!D33</f>
        <v>Umbra 110</v>
      </c>
      <c r="E23" s="104" t="str">
        <f>'инвойс 1'!E33</f>
        <v>Upholstery fabric, chenille,  made from: polyester - 100%. Ткань мебельная обивочная ворсовая из химических синельных нитей, состав: 100% полиэстер</v>
      </c>
      <c r="F23" s="104" t="str">
        <f>'инвойс 1'!F33</f>
        <v>5801360000</v>
      </c>
      <c r="G23" s="104">
        <f>'инвойс 1'!G33</f>
        <v>5801360000</v>
      </c>
      <c r="H23" s="94"/>
      <c r="I23" s="94"/>
      <c r="J23" s="98"/>
      <c r="K23" s="94"/>
      <c r="L23" s="94"/>
      <c r="M23" s="93"/>
      <c r="N23" s="93"/>
      <c r="P23" s="88"/>
      <c r="Q23" s="88"/>
      <c r="R23" s="88"/>
    </row>
    <row r="24" spans="2:203" s="87" customFormat="1" ht="78" customHeight="1">
      <c r="B24" s="104">
        <f>'инвойс 1'!B34</f>
        <v>12</v>
      </c>
      <c r="C24" s="104">
        <v>15</v>
      </c>
      <c r="D24" s="104" t="str">
        <f>'инвойс 1'!D34</f>
        <v>Lambre 402</v>
      </c>
      <c r="E24" s="104" t="str">
        <f>'инвойс 1'!E34</f>
        <v>Knitting upholstery fabric with weft pile,  made from: polyester - 100%. Полотно ворсовое трикотажное из химических нитей, с уточным ворсом, для обивки мебели. Состав: Полиэстер-100%</v>
      </c>
      <c r="F24" s="104" t="str">
        <f>'инвойс 1'!F34</f>
        <v>6001920000</v>
      </c>
      <c r="G24" s="104">
        <f>'инвойс 1'!G34</f>
        <v>6001920000</v>
      </c>
      <c r="H24" s="94">
        <v>513.4</v>
      </c>
      <c r="I24" s="94">
        <f>J24/H24</f>
        <v>1.4100000000000001</v>
      </c>
      <c r="J24" s="98">
        <v>723.89400000000001</v>
      </c>
      <c r="K24" s="94">
        <v>415.85</v>
      </c>
      <c r="L24" s="94">
        <v>430</v>
      </c>
      <c r="M24" s="93">
        <v>34.25</v>
      </c>
      <c r="N24" s="93">
        <v>17583.95</v>
      </c>
      <c r="P24" s="88"/>
      <c r="Q24" s="88">
        <f>M24*H24</f>
        <v>17583.95</v>
      </c>
      <c r="R24" s="88">
        <f>ROUND(Q24,2)</f>
        <v>17583.95</v>
      </c>
    </row>
    <row r="25" spans="2:203" s="87" customFormat="1" ht="78" customHeight="1">
      <c r="B25" s="104">
        <f>'инвойс 1'!B35</f>
        <v>13</v>
      </c>
      <c r="C25" s="104">
        <v>15</v>
      </c>
      <c r="D25" s="104" t="str">
        <f>'инвойс 1'!D35</f>
        <v>Lambre 740</v>
      </c>
      <c r="E25" s="104" t="str">
        <f>'инвойс 1'!E35</f>
        <v>Knitting upholstery fabric with weft pile,  made from: polyester - 100%. Полотно ворсовое трикотажное из химических нитей, с уточным ворсом, для обивки мебели. Состав: Полиэстер-100%</v>
      </c>
      <c r="F25" s="104" t="str">
        <f>'инвойс 1'!F35</f>
        <v>6001920000</v>
      </c>
      <c r="G25" s="104">
        <f>'инвойс 1'!G35</f>
        <v>6001920000</v>
      </c>
      <c r="H25" s="94"/>
      <c r="I25" s="94"/>
      <c r="J25" s="98"/>
      <c r="K25" s="94"/>
      <c r="L25" s="94"/>
      <c r="M25" s="93"/>
      <c r="N25" s="93"/>
      <c r="P25" s="88"/>
      <c r="Q25" s="88"/>
      <c r="R25" s="88"/>
    </row>
    <row r="26" spans="2:203" s="87" customFormat="1" ht="50.2" customHeight="1">
      <c r="B26"/>
      <c r="C26" s="182" t="s">
        <v>1</v>
      </c>
      <c r="D26" s="182"/>
      <c r="E26" s="182"/>
      <c r="F26" s="40"/>
      <c r="G26" s="40"/>
      <c r="H26" s="94"/>
      <c r="I26" s="94"/>
      <c r="J26" s="98"/>
      <c r="K26" s="94"/>
      <c r="L26" s="94"/>
      <c r="M26" s="93"/>
      <c r="N26" s="93"/>
      <c r="P26" s="88"/>
      <c r="Q26" s="88"/>
      <c r="R26" s="88"/>
    </row>
    <row r="27" spans="2:203" ht="17.25" customHeight="1">
      <c r="C27" s="184" t="s">
        <v>19</v>
      </c>
      <c r="D27" s="184"/>
      <c r="E27" s="184"/>
      <c r="F27" s="42"/>
      <c r="G27" s="42"/>
      <c r="H27"/>
      <c r="I27" s="183" t="s">
        <v>18</v>
      </c>
      <c r="J27" s="183"/>
      <c r="K27" s="183"/>
      <c r="L27" s="183"/>
      <c r="M27" s="183"/>
      <c r="N27" s="192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</row>
    <row r="28" spans="2:203" ht="25.5" customHeight="1">
      <c r="C28" s="184" t="s">
        <v>21</v>
      </c>
      <c r="D28" s="184"/>
      <c r="E28" s="184"/>
      <c r="F28" s="42"/>
      <c r="G28" s="42"/>
      <c r="H28"/>
      <c r="I28" s="184" t="s">
        <v>20</v>
      </c>
      <c r="J28" s="184"/>
      <c r="K28" s="184"/>
      <c r="L28" s="184"/>
      <c r="M28" s="184"/>
      <c r="N28" s="19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</row>
    <row r="29" spans="2:203" ht="31.5" customHeight="1">
      <c r="C29" s="184" t="s">
        <v>85</v>
      </c>
      <c r="D29" s="184"/>
      <c r="E29" s="184"/>
      <c r="F29" s="42"/>
      <c r="G29" s="42"/>
      <c r="H29"/>
      <c r="I29" s="184" t="s">
        <v>21</v>
      </c>
      <c r="J29" s="184"/>
      <c r="K29" s="184"/>
      <c r="L29" s="184"/>
      <c r="M29" s="184"/>
      <c r="N29" s="19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</row>
    <row r="30" spans="2:203" ht="20.25" customHeight="1">
      <c r="C30" s="185" t="s">
        <v>23</v>
      </c>
      <c r="D30" s="185"/>
      <c r="E30" s="185"/>
      <c r="F30" s="38"/>
      <c r="G30" s="38"/>
      <c r="H30"/>
      <c r="I30" s="184" t="s">
        <v>22</v>
      </c>
      <c r="J30" s="184"/>
      <c r="K30" s="184"/>
      <c r="L30" s="184"/>
      <c r="M30" s="184"/>
      <c r="N30" s="19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</row>
    <row r="31" spans="2:203" ht="17.25" customHeight="1">
      <c r="C31" s="186" t="s">
        <v>25</v>
      </c>
      <c r="D31" s="186"/>
      <c r="E31" s="186"/>
      <c r="F31" s="43"/>
      <c r="G31" s="43"/>
      <c r="H31"/>
      <c r="I31" s="184" t="s">
        <v>24</v>
      </c>
      <c r="J31" s="184"/>
      <c r="K31" s="184"/>
      <c r="L31" s="184"/>
      <c r="M31" s="184"/>
      <c r="N31" s="19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</row>
    <row r="32" spans="2:203" ht="17.25" customHeight="1">
      <c r="C32" s="185" t="s">
        <v>27</v>
      </c>
      <c r="D32" s="185"/>
      <c r="E32" s="185"/>
      <c r="F32" s="42"/>
      <c r="G32" s="42"/>
      <c r="H32"/>
      <c r="I32" s="187" t="s">
        <v>26</v>
      </c>
      <c r="J32" s="187"/>
      <c r="K32" s="187"/>
      <c r="L32" s="187"/>
      <c r="M32" s="39"/>
      <c r="N32" s="68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</row>
    <row r="33" spans="3:203" ht="17.25" customHeight="1">
      <c r="C33" s="46"/>
      <c r="D33" s="46"/>
      <c r="E33" s="54"/>
      <c r="F33" s="38"/>
      <c r="G33" s="38"/>
      <c r="H33"/>
      <c r="I33" s="184" t="s">
        <v>28</v>
      </c>
      <c r="J33" s="184"/>
      <c r="K33" s="184"/>
      <c r="L33" s="184"/>
      <c r="M33" s="184"/>
      <c r="N33" s="191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</row>
    <row r="34" spans="3:203" ht="36.75" customHeight="1">
      <c r="C34" s="184" t="s">
        <v>40</v>
      </c>
      <c r="D34" s="184"/>
      <c r="E34" s="184"/>
      <c r="F34" s="42"/>
      <c r="G34" s="42"/>
      <c r="H34" s="45"/>
      <c r="I34" s="41"/>
      <c r="J34" s="68"/>
      <c r="K34" s="39"/>
      <c r="L34" s="76"/>
      <c r="M34" s="39"/>
      <c r="N34" s="6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</row>
    <row r="35" spans="3:203" ht="17.25" customHeight="1">
      <c r="C35" s="46"/>
      <c r="D35" s="46"/>
      <c r="E35" s="54"/>
      <c r="F35" s="38"/>
      <c r="G35" s="38"/>
      <c r="H35" s="45"/>
      <c r="I35" s="184" t="s">
        <v>41</v>
      </c>
      <c r="J35" s="184"/>
      <c r="K35" s="184"/>
      <c r="L35" s="184"/>
      <c r="M35" s="184"/>
      <c r="N35" s="191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</row>
    <row r="36" spans="3:203" ht="17.25" customHeight="1">
      <c r="C36" s="37"/>
      <c r="D36" s="37"/>
      <c r="E36" s="54"/>
      <c r="F36" s="38"/>
      <c r="G36" s="38"/>
      <c r="H36" s="45"/>
      <c r="I36" s="46"/>
      <c r="J36" s="68"/>
      <c r="K36" s="39"/>
      <c r="L36" s="76"/>
      <c r="M36" s="39"/>
      <c r="N36" s="6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</row>
    <row r="37" spans="3:203" ht="17.25" customHeight="1">
      <c r="C37" s="188"/>
      <c r="D37" s="188"/>
      <c r="E37" s="188"/>
      <c r="F37" s="38"/>
      <c r="G37" s="38"/>
      <c r="H37" s="45"/>
      <c r="I37" s="37"/>
      <c r="J37" s="68"/>
      <c r="K37" s="39"/>
      <c r="L37" s="76"/>
      <c r="M37" s="39"/>
      <c r="N37" s="68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</row>
    <row r="38" spans="3:203" ht="13.5" customHeight="1">
      <c r="C38" s="184"/>
      <c r="D38" s="184"/>
      <c r="E38" s="184"/>
      <c r="F38" s="42"/>
      <c r="G38" s="42"/>
      <c r="H38" s="45"/>
      <c r="I38" s="184"/>
      <c r="J38" s="184"/>
      <c r="K38" s="184"/>
      <c r="L38" s="184"/>
      <c r="M38" s="184"/>
      <c r="N38" s="19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</row>
    <row r="39" spans="3:203" ht="30.75" customHeight="1">
      <c r="C39" s="41"/>
      <c r="D39" s="41"/>
      <c r="E39" s="54"/>
      <c r="F39" s="38"/>
      <c r="G39" s="38"/>
      <c r="H39" s="45"/>
      <c r="I39" s="184"/>
      <c r="J39" s="184"/>
      <c r="K39" s="184"/>
      <c r="L39" s="184"/>
      <c r="M39" s="184"/>
      <c r="N39" s="191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</row>
    <row r="40" spans="3:203" ht="17.25" customHeight="1">
      <c r="C40" s="41"/>
      <c r="D40" s="41"/>
      <c r="E40" s="54"/>
      <c r="F40" s="38"/>
      <c r="G40" s="38"/>
      <c r="H40" s="45"/>
      <c r="I40" s="184"/>
      <c r="J40" s="184"/>
      <c r="K40" s="184"/>
      <c r="L40" s="184"/>
      <c r="M40" s="184"/>
      <c r="N40" s="191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</row>
    <row r="41" spans="3:203" ht="21" customHeight="1">
      <c r="C41" s="41"/>
      <c r="D41" s="41"/>
      <c r="E41" s="54"/>
      <c r="F41" s="38"/>
      <c r="G41" s="38"/>
      <c r="H41" s="45"/>
      <c r="I41" s="184"/>
      <c r="J41" s="184"/>
      <c r="K41" s="184"/>
      <c r="L41" s="184"/>
      <c r="M41" s="184"/>
      <c r="N41" s="191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</row>
    <row r="42" spans="3:203" ht="23.25" customHeight="1">
      <c r="C42" s="44"/>
      <c r="D42" s="44"/>
      <c r="E42" s="54"/>
      <c r="F42" s="38"/>
      <c r="G42" s="38"/>
      <c r="H42" s="45"/>
      <c r="I42" s="184"/>
      <c r="J42" s="184"/>
      <c r="K42" s="184"/>
      <c r="L42" s="184"/>
      <c r="M42" s="184"/>
      <c r="N42" s="19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</row>
    <row r="43" spans="3:203" ht="17.25" customHeight="1">
      <c r="C43" s="184"/>
      <c r="D43" s="184"/>
      <c r="E43" s="184"/>
      <c r="F43" s="42"/>
      <c r="G43" s="42"/>
      <c r="H43" s="45"/>
      <c r="I43" s="184"/>
      <c r="J43" s="184"/>
      <c r="K43" s="184"/>
      <c r="L43" s="184"/>
      <c r="M43" s="184"/>
      <c r="N43" s="19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</row>
    <row r="44" spans="3:203" ht="17.25" customHeight="1">
      <c r="C44" s="41"/>
      <c r="D44" s="41"/>
      <c r="E44" s="54"/>
      <c r="F44" s="38"/>
      <c r="G44" s="38"/>
      <c r="H44" s="45"/>
      <c r="I44" s="184"/>
      <c r="J44" s="184"/>
      <c r="K44" s="184"/>
      <c r="L44" s="184"/>
      <c r="M44" s="184"/>
      <c r="N44" s="191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</row>
    <row r="45" spans="3:203" ht="17.25" customHeight="1">
      <c r="C45" s="184"/>
      <c r="D45" s="184"/>
      <c r="E45" s="184"/>
      <c r="F45" s="38"/>
      <c r="G45" s="38"/>
      <c r="H45" s="45"/>
      <c r="I45" s="184"/>
      <c r="J45" s="184"/>
      <c r="K45" s="184"/>
      <c r="L45" s="184"/>
      <c r="M45" s="184"/>
      <c r="N45" s="191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</row>
    <row r="46" spans="3:203" ht="17.25" customHeight="1">
      <c r="C46" s="184"/>
      <c r="D46" s="184"/>
      <c r="E46" s="184"/>
      <c r="F46" s="38"/>
      <c r="G46" s="38"/>
      <c r="H46" s="45"/>
      <c r="I46" s="184"/>
      <c r="J46" s="184"/>
      <c r="K46" s="184"/>
      <c r="L46" s="184"/>
      <c r="M46" s="184"/>
      <c r="N46" s="19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</row>
    <row r="47" spans="3:203" ht="17.25" customHeight="1">
      <c r="C47" s="184"/>
      <c r="D47" s="184"/>
      <c r="E47" s="184"/>
      <c r="F47" s="42"/>
      <c r="G47" s="42"/>
      <c r="H47" s="45"/>
      <c r="I47" s="184"/>
      <c r="J47" s="184"/>
      <c r="K47" s="184"/>
      <c r="L47" s="184"/>
      <c r="M47" s="184"/>
      <c r="N47" s="191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</row>
    <row r="48" spans="3:203" ht="17.25" customHeight="1">
      <c r="C48" s="184"/>
      <c r="D48" s="184"/>
      <c r="E48" s="184"/>
      <c r="F48" s="42"/>
      <c r="G48" s="42"/>
      <c r="H48" s="45"/>
      <c r="I48" s="184"/>
      <c r="J48" s="184"/>
      <c r="K48" s="184"/>
      <c r="L48" s="184"/>
      <c r="M48" s="184"/>
      <c r="N48" s="191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</row>
    <row r="49" spans="3:213" ht="17.25" customHeight="1">
      <c r="C49" s="184"/>
      <c r="D49" s="184"/>
      <c r="E49" s="184"/>
      <c r="F49" s="42"/>
      <c r="G49" s="42"/>
      <c r="H49" s="45"/>
      <c r="I49" s="184"/>
      <c r="J49" s="184"/>
      <c r="K49" s="184"/>
      <c r="L49" s="184"/>
      <c r="M49" s="184"/>
      <c r="N49" s="191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</row>
    <row r="50" spans="3:213" ht="17.25" customHeight="1">
      <c r="C50" s="41"/>
      <c r="D50" s="41"/>
      <c r="E50" s="54"/>
      <c r="F50" s="38"/>
      <c r="G50" s="38"/>
      <c r="H50" s="45"/>
      <c r="I50" s="184"/>
      <c r="J50" s="184"/>
      <c r="K50" s="184"/>
      <c r="L50" s="184"/>
      <c r="M50" s="184"/>
      <c r="N50" s="191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</row>
    <row r="51" spans="3:213" ht="17.25" customHeight="1">
      <c r="C51" s="184"/>
      <c r="D51" s="184"/>
      <c r="E51" s="184"/>
      <c r="F51" s="42"/>
      <c r="G51" s="42"/>
      <c r="H51" s="45"/>
      <c r="I51" s="184"/>
      <c r="J51" s="184"/>
      <c r="K51" s="184"/>
      <c r="L51" s="184"/>
      <c r="M51" s="184"/>
      <c r="N51" s="191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</row>
    <row r="52" spans="3:213" ht="17.25" customHeight="1">
      <c r="C52" s="184"/>
      <c r="D52" s="184"/>
      <c r="E52" s="184"/>
      <c r="F52" s="42"/>
      <c r="G52" s="42"/>
      <c r="H52" s="45"/>
      <c r="I52" s="184"/>
      <c r="J52" s="184"/>
      <c r="K52" s="184"/>
      <c r="L52" s="184"/>
      <c r="M52" s="184"/>
      <c r="N52" s="191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</row>
    <row r="53" spans="3:213" ht="17.25" customHeight="1">
      <c r="C53" s="41"/>
      <c r="D53" s="41"/>
      <c r="E53" s="54"/>
      <c r="F53" s="38"/>
      <c r="G53" s="38"/>
      <c r="H53" s="45"/>
      <c r="I53" s="184"/>
      <c r="J53" s="184"/>
      <c r="K53" s="184"/>
      <c r="L53" s="184"/>
      <c r="M53" s="184"/>
      <c r="N53" s="191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</row>
    <row r="54" spans="3:213" ht="17.25" customHeight="1">
      <c r="C54" s="41"/>
      <c r="D54" s="41"/>
      <c r="E54" s="54"/>
      <c r="F54" s="38"/>
      <c r="G54" s="38"/>
      <c r="H54" s="45"/>
      <c r="I54" s="41"/>
      <c r="J54" s="68"/>
      <c r="K54" s="39"/>
      <c r="L54" s="76"/>
      <c r="M54" s="39"/>
      <c r="N54" s="6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</row>
    <row r="55" spans="3:213" ht="18.75" customHeight="1">
      <c r="C55" s="184"/>
      <c r="D55" s="184"/>
      <c r="E55" s="184"/>
      <c r="F55" s="42"/>
      <c r="G55" s="42"/>
      <c r="H55" s="45"/>
      <c r="I55" s="41"/>
      <c r="J55" s="68"/>
      <c r="K55" s="39"/>
      <c r="L55" s="76"/>
      <c r="M55" s="39"/>
      <c r="N55" s="68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</row>
    <row r="56" spans="3:213" ht="63.75" customHeight="1">
      <c r="C56"/>
      <c r="D56"/>
      <c r="E56" s="46"/>
      <c r="F56"/>
      <c r="G56"/>
      <c r="H56" s="45"/>
      <c r="I56" s="184"/>
      <c r="J56" s="184"/>
      <c r="K56" s="184"/>
      <c r="L56" s="184"/>
      <c r="M56" s="184"/>
      <c r="N56" s="191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</row>
    <row r="57" spans="3:213" ht="17.25" customHeight="1">
      <c r="C57"/>
      <c r="D57"/>
      <c r="E57" s="46"/>
      <c r="F57"/>
      <c r="G57"/>
      <c r="H57"/>
      <c r="I57"/>
      <c r="J57" s="69"/>
      <c r="K57" s="59"/>
      <c r="L57" s="77"/>
      <c r="M57"/>
      <c r="N57" s="69"/>
      <c r="GV57" s="5"/>
      <c r="GW57" s="5"/>
      <c r="GX57" s="5"/>
    </row>
    <row r="58" spans="3:213" ht="17.25" customHeight="1">
      <c r="C58" s="5"/>
      <c r="D58" s="5"/>
      <c r="H58"/>
      <c r="I58"/>
      <c r="J58" s="69"/>
      <c r="K58" s="59"/>
      <c r="L58" s="77"/>
      <c r="M58"/>
      <c r="N58" s="69"/>
      <c r="GV58" s="5"/>
      <c r="GW58" s="5"/>
      <c r="GX58" s="5"/>
      <c r="GY58" s="5"/>
      <c r="GZ58" s="5"/>
      <c r="HA58" s="5"/>
      <c r="HB58" s="5"/>
      <c r="HC58" s="5"/>
      <c r="HD58" s="5"/>
      <c r="HE58" s="5"/>
    </row>
    <row r="59" spans="3:213" ht="17.25" customHeight="1">
      <c r="M59" s="47"/>
      <c r="GV59" s="5"/>
      <c r="GW59" s="5"/>
      <c r="GX59" s="5"/>
      <c r="GY59" s="5"/>
      <c r="GZ59" s="5"/>
      <c r="HA59" s="5"/>
      <c r="HB59" s="5"/>
    </row>
  </sheetData>
  <autoFilter ref="A12:HE26" xr:uid="{00000000-0009-0000-0000-000001000000}"/>
  <mergeCells count="58">
    <mergeCell ref="B1:N1"/>
    <mergeCell ref="B2:N2"/>
    <mergeCell ref="B3:N3"/>
    <mergeCell ref="B4:N4"/>
    <mergeCell ref="B5:N5"/>
    <mergeCell ref="M6:N6"/>
    <mergeCell ref="I7:N7"/>
    <mergeCell ref="I8:N8"/>
    <mergeCell ref="I9:M9"/>
    <mergeCell ref="I10:N10"/>
    <mergeCell ref="B7:F7"/>
    <mergeCell ref="B8:F8"/>
    <mergeCell ref="B9:E9"/>
    <mergeCell ref="B10:F10"/>
    <mergeCell ref="C26:E26"/>
    <mergeCell ref="I27:N27"/>
    <mergeCell ref="C27:E27"/>
    <mergeCell ref="I28:N28"/>
    <mergeCell ref="C28:E28"/>
    <mergeCell ref="I29:N29"/>
    <mergeCell ref="C29:E29"/>
    <mergeCell ref="I30:N30"/>
    <mergeCell ref="C30:E30"/>
    <mergeCell ref="I31:N31"/>
    <mergeCell ref="C31:E31"/>
    <mergeCell ref="I32:L32"/>
    <mergeCell ref="C34:E34"/>
    <mergeCell ref="I35:N35"/>
    <mergeCell ref="C37:E37"/>
    <mergeCell ref="I38:N38"/>
    <mergeCell ref="C32:E32"/>
    <mergeCell ref="I33:N33"/>
    <mergeCell ref="C38:E38"/>
    <mergeCell ref="I39:N39"/>
    <mergeCell ref="I40:N40"/>
    <mergeCell ref="I41:N41"/>
    <mergeCell ref="I42:N42"/>
    <mergeCell ref="I43:N43"/>
    <mergeCell ref="C43:E43"/>
    <mergeCell ref="I44:N44"/>
    <mergeCell ref="I45:N45"/>
    <mergeCell ref="C45:E45"/>
    <mergeCell ref="I46:N46"/>
    <mergeCell ref="C46:E46"/>
    <mergeCell ref="I56:N56"/>
    <mergeCell ref="C47:E47"/>
    <mergeCell ref="I48:N48"/>
    <mergeCell ref="C48:E48"/>
    <mergeCell ref="I49:N49"/>
    <mergeCell ref="I53:N53"/>
    <mergeCell ref="C55:E55"/>
    <mergeCell ref="C49:E49"/>
    <mergeCell ref="I50:N50"/>
    <mergeCell ref="I47:N47"/>
    <mergeCell ref="I51:N51"/>
    <mergeCell ref="C51:E51"/>
    <mergeCell ref="I52:N52"/>
    <mergeCell ref="C52:E52"/>
  </mergeCells>
  <hyperlinks>
    <hyperlink ref="B4" r:id="rId1" xr:uid="{00000000-0004-0000-0100-000000000000}"/>
    <hyperlink ref="C31" r:id="rId2" display="http://www.zhongfanghz.cn/" xr:uid="{00000000-0004-0000-0100-000001000000}"/>
    <hyperlink ref="I32" r:id="rId3" display="http://www.zhongfanghz.cn/" xr:uid="{00000000-0004-0000-0100-000002000000}"/>
  </hyperlinks>
  <pageMargins left="0.28000000000000003" right="0.28000000000000003" top="0.31" bottom="0.98" header="0.51" footer="0.51"/>
  <pageSetup paperSize="9" scale="63" orientation="portrait" r:id="rId4"/>
  <headerFooter alignWithMargins="0"/>
  <colBreaks count="1" manualBreakCount="1">
    <brk id="14" max="1048575" man="1"/>
  </col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инвойс 1</vt:lpstr>
      <vt:lpstr>описание</vt:lpstr>
      <vt:lpstr>'инвойс 1'!Область_печати</vt:lpstr>
      <vt:lpstr>описание!Область_печати</vt:lpstr>
    </vt:vector>
  </TitlesOfParts>
  <Company>www.Luobo.cc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萝卜家园</dc:creator>
  <cp:lastModifiedBy>RDZharinovK</cp:lastModifiedBy>
  <cp:revision>1</cp:revision>
  <cp:lastPrinted>2026-01-30T10:49:43Z</cp:lastPrinted>
  <dcterms:created xsi:type="dcterms:W3CDTF">2009-12-31T05:51:11Z</dcterms:created>
  <dcterms:modified xsi:type="dcterms:W3CDTF">2026-08-24T08:40:03Z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3AB6D4EAEAE64BDD9CB46DFB4BC83063</vt:lpwstr>
  </property>
</Properties>
</file>