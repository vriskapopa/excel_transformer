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1'!$A$22:$GX$53</definedName>
    <definedName name="_xlnm.Print_Area" localSheetId="0">'инвойс 1'!$B$1:$N$84</definedName>
    <definedName name="_xlnm._FilterDatabase" localSheetId="1" hidden="1">'описание'!$A$12:$HE$30</definedName>
    <definedName name="_xlnm.Print_Area" localSheetId="1">'описание'!$A$1:$N$60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0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31" fillId="0" borderId="6" applyAlignment="1" pivotButton="0" quotePrefix="0" xfId="2">
      <alignment horizontal="right"/>
    </xf>
    <xf numFmtId="49" fontId="29" fillId="0" borderId="8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5"/>
  <sheetViews>
    <sheetView tabSelected="1" topLeftCell="A5" zoomScale="85" zoomScaleNormal="85" zoomScaleSheetLayoutView="70" workbookViewId="0">
      <pane activePane="bottomRight" state="frozen"/>
      <selection activeCell="S32" sqref="S1:S104857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76" min="8" max="8"/>
    <col width="11.25" customWidth="1" style="176" min="9" max="9"/>
    <col width="10.25" customWidth="1" style="177" min="10" max="10"/>
    <col width="14.25" customWidth="1" style="47" min="11" max="11"/>
    <col width="17.8125" customWidth="1" style="178" min="12" max="12"/>
    <col width="8.75" customWidth="1" style="179" min="13" max="13"/>
    <col width="12.75" customWidth="1" style="177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80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17.0625" customWidth="1" style="5" min="31" max="31"/>
    <col width="14.75" customWidth="1" style="103" min="32" max="32"/>
    <col width="9" customWidth="1" style="5" min="33" max="196"/>
  </cols>
  <sheetData>
    <row r="1" ht="25.15" customHeight="1" s="11">
      <c r="A1" s="6" t="n"/>
      <c r="B1" s="150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181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52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181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54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182" t="n"/>
      <c r="AF3" s="100" t="n"/>
    </row>
    <row r="4" ht="15" customHeight="1" s="11">
      <c r="B4" s="154" t="inlineStr">
        <is>
          <t xml:space="preserve">www.zhongfanghz.cn </t>
        </is>
      </c>
      <c r="R4" s="106" t="n"/>
      <c r="S4" s="6" t="n"/>
      <c r="Z4" s="182" t="n"/>
      <c r="AF4" s="100" t="n"/>
    </row>
    <row r="5" ht="15.75" customHeight="1" s="11">
      <c r="B5" s="154" t="n"/>
      <c r="C5" s="154" t="n"/>
      <c r="D5" s="154" t="n"/>
      <c r="E5" s="22" t="n"/>
      <c r="F5" s="154" t="n"/>
      <c r="G5" s="154" t="n"/>
      <c r="H5" s="154" t="n"/>
      <c r="I5" s="154" t="n"/>
      <c r="J5" s="183" t="n"/>
      <c r="K5" s="56" t="n"/>
      <c r="L5" s="184" t="n"/>
      <c r="M5" s="154" t="n"/>
      <c r="N5" s="183" t="n"/>
      <c r="R5" s="106" t="n"/>
      <c r="S5" s="6" t="n"/>
      <c r="Z5" s="182" t="n"/>
      <c r="AF5" s="100" t="n"/>
    </row>
    <row r="6" ht="12" customHeight="1" s="11">
      <c r="B6" s="154" t="n"/>
      <c r="C6" s="154" t="n"/>
      <c r="D6" s="154" t="n"/>
      <c r="E6" s="22" t="n"/>
      <c r="F6" s="154" t="n"/>
      <c r="G6" s="154" t="n"/>
      <c r="H6" s="154" t="n"/>
      <c r="I6" s="154" t="n"/>
      <c r="J6" s="183" t="n"/>
      <c r="K6" s="56" t="n"/>
      <c r="L6" s="184" t="n"/>
      <c r="M6" s="154" t="n"/>
      <c r="N6" s="183" t="n"/>
      <c r="R6" s="106" t="n"/>
      <c r="S6" s="6" t="n"/>
      <c r="Z6" s="182" t="n"/>
      <c r="AF6" s="100" t="n"/>
    </row>
    <row r="7" ht="27" customHeight="1" s="11">
      <c r="B7" s="156">
        <f>"SPECIFICATION №"&amp;L9&amp;" dd "&amp;L11</f>
        <v/>
      </c>
      <c r="R7" s="107" t="n"/>
      <c r="Z7" s="185" t="n"/>
      <c r="AF7" s="101" t="n"/>
    </row>
    <row r="8" ht="15.75" customHeight="1" s="11">
      <c r="B8" s="156" t="n"/>
      <c r="C8" s="156" t="n"/>
      <c r="D8" s="156" t="n"/>
      <c r="E8" s="48" t="n"/>
      <c r="F8" s="156" t="n"/>
      <c r="G8" s="156" t="n"/>
      <c r="H8" s="156" t="n"/>
      <c r="I8" s="156" t="n"/>
      <c r="J8" s="186" t="n"/>
      <c r="K8" s="57" t="n"/>
      <c r="L8" s="187" t="n"/>
      <c r="M8" s="156" t="n"/>
      <c r="N8" s="186" t="n"/>
      <c r="R8" s="107" t="n"/>
      <c r="Z8" s="185" t="n"/>
      <c r="AF8" s="101" t="n"/>
    </row>
    <row r="9" ht="15.75" customHeight="1" s="11">
      <c r="C9" s="12" t="n"/>
      <c r="D9" s="12" t="n"/>
      <c r="E9" s="168" t="n"/>
      <c r="F9" s="12" t="n"/>
      <c r="G9" s="13" t="n"/>
      <c r="H9" s="13" t="n"/>
      <c r="I9" s="12" t="n"/>
      <c r="J9" s="188" t="n"/>
      <c r="K9" s="116" t="inlineStr">
        <is>
          <t>инв номер:</t>
        </is>
      </c>
      <c r="L9" s="143" t="inlineStr">
        <is>
          <t>ZFRMB26148-626-2</t>
        </is>
      </c>
      <c r="N9" s="189" t="n"/>
      <c r="R9" s="106" t="n"/>
      <c r="S9" s="6" t="n"/>
      <c r="Z9" s="182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188" t="n"/>
      <c r="K10" s="116" t="n"/>
      <c r="L10" s="190" t="n"/>
      <c r="M10" s="148" t="n"/>
      <c r="R10" s="106" t="n"/>
      <c r="S10" s="6" t="n"/>
      <c r="Z10" s="182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188" t="n"/>
      <c r="K11" s="115" t="inlineStr">
        <is>
          <t>дата:</t>
        </is>
      </c>
      <c r="L11" s="143" t="inlineStr">
        <is>
          <t>Aug.19,2026</t>
        </is>
      </c>
      <c r="M11" s="148" t="n"/>
      <c r="N11" s="191" t="n"/>
      <c r="R11" s="106" t="n"/>
      <c r="S11" s="6" t="n"/>
      <c r="Z11" s="182" t="n"/>
      <c r="AF11" s="100" t="n"/>
    </row>
    <row r="12" ht="15.75" customHeight="1" s="11">
      <c r="C12" s="12" t="n"/>
      <c r="D12" s="12" t="n"/>
      <c r="E12" s="168" t="n"/>
      <c r="F12" s="12" t="n"/>
      <c r="G12" s="13" t="n"/>
      <c r="H12" s="13" t="n"/>
      <c r="I12" s="12" t="n"/>
      <c r="J12" s="188" t="n"/>
      <c r="K12" s="16" t="n"/>
      <c r="L12" s="192" t="n"/>
      <c r="M12" s="12" t="n"/>
      <c r="N12" s="188" t="n"/>
      <c r="R12" s="106" t="n"/>
      <c r="S12" s="6" t="n"/>
      <c r="Z12" s="182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58" t="inlineStr">
        <is>
          <t>Seller / Продавец:</t>
        </is>
      </c>
      <c r="R13" s="106" t="n"/>
      <c r="S13" s="6" t="n"/>
      <c r="Z13" s="182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60" t="inlineStr">
        <is>
          <t>HANGZHOU ZHONGFANG TEXTILE IMP./EXP. CO., LTD.</t>
        </is>
      </c>
      <c r="R14" s="106" t="n"/>
      <c r="S14" s="6" t="n"/>
      <c r="Z14" s="182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58" t="inlineStr">
        <is>
          <t>Address/Адрес:</t>
        </is>
      </c>
      <c r="N15" s="189" t="n"/>
      <c r="R15" s="106" t="n"/>
      <c r="S15" s="6" t="n"/>
      <c r="Z15" s="182" t="n"/>
      <c r="AF15" s="100" t="n"/>
    </row>
    <row r="16" ht="34.5" customHeight="1" s="11">
      <c r="B16" s="160" t="inlineStr">
        <is>
          <t>143421 Moscow region, city of Krasnogorsk, 21st kilometer of Baltiya highway, comp. 2, bld. 1, prem. 1, OGRN 1175024014472, TIN 5032281280, KPP 502401001</t>
        </is>
      </c>
      <c r="H16" s="24" t="n"/>
      <c r="I16" s="162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182" t="n"/>
      <c r="AF16" s="100" t="n"/>
    </row>
    <row r="17" ht="31.5" customHeight="1" s="11">
      <c r="B17" s="160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182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62" t="n"/>
      <c r="G18" s="26" t="n"/>
      <c r="H18" s="27" t="n"/>
      <c r="I18" s="158" t="inlineStr">
        <is>
          <t>Manufactor / Производитель:</t>
        </is>
      </c>
      <c r="R18" s="106" t="n"/>
      <c r="S18" s="6" t="n"/>
      <c r="Z18" s="182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62" t="n"/>
      <c r="G19" s="26" t="n"/>
      <c r="H19" s="27" t="n"/>
      <c r="I19" s="160" t="inlineStr">
        <is>
          <t>HANGZHOU ZHONGFANG TEXTILE IMP./EXP. CO., LTD.</t>
        </is>
      </c>
      <c r="R19" s="106" t="n"/>
      <c r="S19" s="6" t="n"/>
      <c r="Z19" s="182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193" t="n"/>
      <c r="J20" s="194" t="n"/>
      <c r="K20" s="117" t="n"/>
      <c r="L20" s="195" t="n"/>
      <c r="M20" s="32" t="n"/>
      <c r="N20" s="194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181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6" t="n"/>
      <c r="EF20" s="6" t="n"/>
      <c r="EG20" s="6" t="n"/>
      <c r="EH20" s="6" t="n"/>
      <c r="EI20" s="6" t="n"/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T20" s="6" t="n"/>
      <c r="EU20" s="6" t="n"/>
      <c r="EV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I20" s="6" t="n"/>
      <c r="FJ20" s="6" t="n"/>
      <c r="FK20" s="6" t="n"/>
      <c r="FL20" s="6" t="n"/>
      <c r="FM20" s="6" t="n"/>
      <c r="FN20" s="6" t="n"/>
      <c r="FO20" s="6" t="n"/>
      <c r="FP20" s="6" t="n"/>
      <c r="FQ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B20" s="6" t="n"/>
      <c r="GC20" s="6" t="n"/>
      <c r="GD20" s="6" t="n"/>
      <c r="GE20" s="6" t="n"/>
      <c r="GF20" s="6" t="n"/>
      <c r="GG20" s="6" t="n"/>
      <c r="GH20" s="6" t="n"/>
      <c r="GI20" s="6" t="n"/>
      <c r="GJ20" s="6" t="n"/>
      <c r="GK20" s="6" t="n"/>
      <c r="GL20" s="6" t="n"/>
      <c r="GM20" s="6" t="n"/>
      <c r="GN20" s="6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193" t="n"/>
      <c r="J21" s="194" t="n"/>
      <c r="K21" s="33" t="n"/>
      <c r="L21" s="196" t="n"/>
      <c r="M21" s="32" t="n"/>
      <c r="N21" s="194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181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6" t="n"/>
      <c r="EF21" s="6" t="n"/>
      <c r="EG21" s="6" t="n"/>
      <c r="EH21" s="6" t="n"/>
      <c r="EI21" s="6" t="n"/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T21" s="6" t="n"/>
      <c r="EU21" s="6" t="n"/>
      <c r="EV21" s="6" t="n"/>
      <c r="EW21" s="6" t="n"/>
      <c r="EX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I21" s="6" t="n"/>
      <c r="FJ21" s="6" t="n"/>
      <c r="FK21" s="6" t="n"/>
      <c r="FL21" s="6" t="n"/>
      <c r="FM21" s="6" t="n"/>
      <c r="FN21" s="6" t="n"/>
      <c r="FO21" s="6" t="n"/>
      <c r="FP21" s="6" t="n"/>
      <c r="FQ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B21" s="6" t="n"/>
      <c r="GC21" s="6" t="n"/>
      <c r="GD21" s="6" t="n"/>
      <c r="GE21" s="6" t="n"/>
      <c r="GF21" s="6" t="n"/>
      <c r="GG21" s="6" t="n"/>
      <c r="GH21" s="6" t="n"/>
      <c r="GI21" s="6" t="n"/>
      <c r="GJ21" s="6" t="n"/>
      <c r="GK21" s="6" t="n"/>
      <c r="GL21" s="6" t="n"/>
      <c r="GM21" s="6" t="n"/>
      <c r="GN21" s="6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197" t="inlineStr">
        <is>
          <t>Q-ty meters / Кол-во погонных метров</t>
        </is>
      </c>
      <c r="I22" s="197" t="inlineStr">
        <is>
          <t>Widht, m / Ширина, м</t>
        </is>
      </c>
      <c r="J22" s="198" t="inlineStr">
        <is>
          <t>Q-ty m2 / Кол-во кв.м</t>
        </is>
      </c>
      <c r="K22" s="83" t="inlineStr">
        <is>
          <t>N.W, kg / Вес Нетто, кг</t>
        </is>
      </c>
      <c r="L22" s="199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198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НS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00" t="inlineStr">
        <is>
          <t>метры пог</t>
        </is>
      </c>
      <c r="Y22" s="86" t="inlineStr">
        <is>
          <t>цена за м</t>
        </is>
      </c>
      <c r="Z22" s="201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2" t="n">
        <v>1</v>
      </c>
      <c r="C23" s="120" t="n">
        <v>23</v>
      </c>
      <c r="D23" s="129" t="inlineStr">
        <is>
          <t>NAPPA 000</t>
        </is>
      </c>
      <c r="E23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3" s="121" t="inlineStr">
        <is>
          <t>5903102000</t>
        </is>
      </c>
      <c r="G23" s="121" t="inlineStr">
        <is>
          <t>3921120000</t>
        </is>
      </c>
      <c r="H23" s="94" t="n">
        <v>1040</v>
      </c>
      <c r="I23" s="94" t="n">
        <v>1.43</v>
      </c>
      <c r="J23" s="202" t="n">
        <v>1487.2</v>
      </c>
      <c r="K23" s="94" t="n">
        <v>702</v>
      </c>
      <c r="L23" s="94" t="n">
        <v>737.87</v>
      </c>
      <c r="M23" s="203" t="n">
        <v>16.1</v>
      </c>
      <c r="N23" s="203" t="n">
        <v>16744</v>
      </c>
      <c r="O23" s="133" t="inlineStr">
        <is>
          <t>3921120000</t>
        </is>
      </c>
      <c r="P23" s="134" t="inlineStr">
        <is>
          <t>КИТАЙ</t>
        </is>
      </c>
      <c r="Q23" s="134" t="inlineStr">
        <is>
          <t xml:space="preserve">HANGZHOU ZHONGFANG TEXTILE IMP/EXP.CO.,LTD    </t>
        </is>
      </c>
      <c r="R23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3" s="6" t="inlineStr">
        <is>
          <t>NAPPA 000</t>
        </is>
      </c>
      <c r="T23" s="136" t="inlineStr">
        <is>
          <t>5903102000</t>
        </is>
      </c>
      <c r="U23" s="137" t="n">
        <v>23</v>
      </c>
      <c r="V23" s="137" t="n">
        <v>1.43</v>
      </c>
      <c r="W23" s="138" t="n">
        <v>1487.2</v>
      </c>
      <c r="X23" s="204" t="n">
        <v>1040</v>
      </c>
      <c r="Y23" s="87" t="n">
        <v>16.1</v>
      </c>
      <c r="Z23" s="205">
        <f>X23*Y23</f>
        <v/>
      </c>
      <c r="AA23" s="206" t="n">
        <v>702</v>
      </c>
      <c r="AB23" s="207" t="n">
        <v>737.8731000000002</v>
      </c>
      <c r="AC23" s="144" t="inlineStr">
        <is>
          <t>01402</t>
        </is>
      </c>
      <c r="AD23" s="145" t="inlineStr">
        <is>
          <t>ЕАЭС N RU Д-CN.РА01.В.33158/23</t>
        </is>
      </c>
      <c r="AE23" s="130" t="n">
        <v>44957</v>
      </c>
      <c r="AF23" s="130" t="n">
        <v>46775</v>
      </c>
      <c r="AG23" s="146" t="inlineStr">
        <is>
          <t>HANGZHOU ZHONGFANG TEXTILE IMP./EXP. CO., LTD.</t>
        </is>
      </c>
    </row>
    <row r="24" ht="63.75" customFormat="1" customHeight="1" s="87">
      <c r="B24" s="142" t="n">
        <v>2</v>
      </c>
      <c r="C24" s="120" t="n">
        <v>29</v>
      </c>
      <c r="D24" s="129" t="inlineStr">
        <is>
          <t>NAPPA 110</t>
        </is>
      </c>
      <c r="E24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4" s="121" t="inlineStr">
        <is>
          <t>5903102000</t>
        </is>
      </c>
      <c r="G24" s="121" t="inlineStr">
        <is>
          <t>3921120000</t>
        </is>
      </c>
      <c r="H24" s="94" t="n">
        <v>1122.8</v>
      </c>
      <c r="I24" s="94" t="n">
        <v>1.43</v>
      </c>
      <c r="J24" s="202" t="n">
        <v>1605.604</v>
      </c>
      <c r="K24" s="94" t="n">
        <v>757.89</v>
      </c>
      <c r="L24" s="94" t="n">
        <v>803.12</v>
      </c>
      <c r="M24" s="203" t="n">
        <v>16.1</v>
      </c>
      <c r="N24" s="203" t="n">
        <v>18077.08</v>
      </c>
      <c r="O24" s="133" t="inlineStr">
        <is>
          <t>3921120000</t>
        </is>
      </c>
      <c r="P24" s="134" t="inlineStr">
        <is>
          <t>КИТАЙ</t>
        </is>
      </c>
      <c r="Q24" s="134" t="inlineStr">
        <is>
          <t xml:space="preserve">HANGZHOU ZHONGFANG TEXTILE IMP/EXP.CO.,LTD    </t>
        </is>
      </c>
      <c r="R24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4" s="6" t="inlineStr">
        <is>
          <t>NAPPA 110</t>
        </is>
      </c>
      <c r="T24" s="136" t="inlineStr">
        <is>
          <t>5903102000</t>
        </is>
      </c>
      <c r="U24" s="137" t="n">
        <v>29</v>
      </c>
      <c r="V24" s="137" t="n">
        <v>1.43</v>
      </c>
      <c r="W24" s="138" t="n">
        <v>1605.604</v>
      </c>
      <c r="X24" s="204" t="n">
        <v>1122.8</v>
      </c>
      <c r="Y24" s="87" t="n">
        <v>16.1</v>
      </c>
      <c r="Z24" s="205">
        <f>X24*Y24</f>
        <v/>
      </c>
      <c r="AA24" s="206" t="n">
        <v>757.89</v>
      </c>
      <c r="AB24" s="207" t="n">
        <v>803.1213000000002</v>
      </c>
      <c r="AC24" s="144" t="inlineStr">
        <is>
          <t>01402</t>
        </is>
      </c>
      <c r="AD24" s="145" t="inlineStr">
        <is>
          <t>ЕАЭС N RU Д-CN.РА01.В.33158/23</t>
        </is>
      </c>
      <c r="AE24" s="130" t="n">
        <v>44957</v>
      </c>
      <c r="AF24" s="130" t="n">
        <v>46775</v>
      </c>
      <c r="AG24" s="146" t="inlineStr">
        <is>
          <t>HANGZHOU ZHONGFANG TEXTILE IMP./EXP. CO., LTD.</t>
        </is>
      </c>
    </row>
    <row r="25" ht="63.75" customFormat="1" customHeight="1" s="87">
      <c r="B25" s="142" t="n">
        <v>3</v>
      </c>
      <c r="C25" s="120" t="n">
        <v>34</v>
      </c>
      <c r="D25" s="129" t="inlineStr">
        <is>
          <t>NAPPA 130</t>
        </is>
      </c>
      <c r="E25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5" s="121" t="inlineStr">
        <is>
          <t>5903102000</t>
        </is>
      </c>
      <c r="G25" s="121" t="inlineStr">
        <is>
          <t>3921120000</t>
        </is>
      </c>
      <c r="H25" s="94" t="n">
        <v>1491</v>
      </c>
      <c r="I25" s="94" t="n">
        <v>1.43</v>
      </c>
      <c r="J25" s="202" t="n">
        <v>2132.13</v>
      </c>
      <c r="K25" s="94" t="n">
        <v>1006.42</v>
      </c>
      <c r="L25" s="94" t="n">
        <v>1059.45</v>
      </c>
      <c r="M25" s="203" t="n">
        <v>16.1</v>
      </c>
      <c r="N25" s="203" t="n">
        <v>24005.1</v>
      </c>
      <c r="O25" s="133" t="inlineStr">
        <is>
          <t>3921120000</t>
        </is>
      </c>
      <c r="P25" s="134" t="inlineStr">
        <is>
          <t>КИТАЙ</t>
        </is>
      </c>
      <c r="Q25" s="134" t="inlineStr">
        <is>
          <t xml:space="preserve">HANGZHOU ZHONGFANG TEXTILE IMP/EXP.CO.,LTD    </t>
        </is>
      </c>
      <c r="R25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5" s="6" t="inlineStr">
        <is>
          <t>NAPPA 130</t>
        </is>
      </c>
      <c r="T25" s="136" t="inlineStr">
        <is>
          <t>5903102000</t>
        </is>
      </c>
      <c r="U25" s="137" t="n">
        <v>34</v>
      </c>
      <c r="V25" s="137" t="n">
        <v>1.43</v>
      </c>
      <c r="W25" s="138" t="n">
        <v>2132.13</v>
      </c>
      <c r="X25" s="204" t="n">
        <v>1491</v>
      </c>
      <c r="Y25" s="87" t="n">
        <v>16.1</v>
      </c>
      <c r="Z25" s="205">
        <f>X25*Y25</f>
        <v/>
      </c>
      <c r="AA25" s="206" t="n">
        <v>1006.42</v>
      </c>
      <c r="AB25" s="207" t="n">
        <v>1059.455</v>
      </c>
      <c r="AC25" s="144" t="inlineStr">
        <is>
          <t>01402</t>
        </is>
      </c>
      <c r="AD25" s="145" t="inlineStr">
        <is>
          <t>ЕАЭС N RU Д-CN.РА01.В.33158/23</t>
        </is>
      </c>
      <c r="AE25" s="130" t="n">
        <v>44957</v>
      </c>
      <c r="AF25" s="130" t="n">
        <v>46775</v>
      </c>
      <c r="AG25" s="146" t="inlineStr">
        <is>
          <t>HANGZHOU ZHONGFANG TEXTILE IMP./EXP. CO., LTD.</t>
        </is>
      </c>
    </row>
    <row r="26" ht="63.75" customFormat="1" customHeight="1" s="87">
      <c r="B26" s="142" t="n">
        <v>4</v>
      </c>
      <c r="C26" s="120" t="n">
        <v>23</v>
      </c>
      <c r="D26" s="129" t="inlineStr">
        <is>
          <t>NAPPA 131</t>
        </is>
      </c>
      <c r="E26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6" s="121" t="inlineStr">
        <is>
          <t>5903102000</t>
        </is>
      </c>
      <c r="G26" s="121" t="inlineStr">
        <is>
          <t>3921120000</t>
        </is>
      </c>
      <c r="H26" s="94" t="n">
        <v>1029</v>
      </c>
      <c r="I26" s="94" t="n">
        <v>1.43</v>
      </c>
      <c r="J26" s="202" t="n">
        <v>1471.47</v>
      </c>
      <c r="K26" s="94" t="n">
        <v>694.58</v>
      </c>
      <c r="L26" s="94" t="n">
        <v>730.45</v>
      </c>
      <c r="M26" s="203" t="n">
        <v>16.1</v>
      </c>
      <c r="N26" s="203" t="n">
        <v>16566.9</v>
      </c>
      <c r="O26" s="133" t="inlineStr">
        <is>
          <t>3921120000</t>
        </is>
      </c>
      <c r="P26" s="134" t="inlineStr">
        <is>
          <t>КИТАЙ</t>
        </is>
      </c>
      <c r="Q26" s="134" t="inlineStr">
        <is>
          <t xml:space="preserve">HANGZHOU ZHONGFANG TEXTILE IMP/EXP.CO.,LTD    </t>
        </is>
      </c>
      <c r="R26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6" s="6" t="inlineStr">
        <is>
          <t>NAPPA 131</t>
        </is>
      </c>
      <c r="T26" s="136" t="inlineStr">
        <is>
          <t>5903102000</t>
        </is>
      </c>
      <c r="U26" s="137" t="n">
        <v>23</v>
      </c>
      <c r="V26" s="137" t="n">
        <v>1.43</v>
      </c>
      <c r="W26" s="138" t="n">
        <v>1471.47</v>
      </c>
      <c r="X26" s="204" t="n">
        <v>1029</v>
      </c>
      <c r="Y26" s="87" t="n">
        <v>16.1</v>
      </c>
      <c r="Z26" s="205">
        <f>X26*Y26</f>
        <v/>
      </c>
      <c r="AA26" s="206" t="n">
        <v>694.5700000000001</v>
      </c>
      <c r="AB26" s="207" t="n">
        <v>730.4481000000003</v>
      </c>
      <c r="AC26" s="144" t="inlineStr">
        <is>
          <t>01402</t>
        </is>
      </c>
      <c r="AD26" s="145" t="inlineStr">
        <is>
          <t>ЕАЭС N RU Д-CN.РА01.В.33158/23</t>
        </is>
      </c>
      <c r="AE26" s="130" t="n">
        <v>44957</v>
      </c>
      <c r="AF26" s="130" t="n">
        <v>46775</v>
      </c>
      <c r="AG26" s="146" t="inlineStr">
        <is>
          <t>HANGZHOU ZHONGFANG TEXTILE IMP./EXP. CO., LTD.</t>
        </is>
      </c>
    </row>
    <row r="27" ht="63.75" customFormat="1" customHeight="1" s="87">
      <c r="B27" s="142" t="n">
        <v>5</v>
      </c>
      <c r="C27" s="120" t="n">
        <v>34</v>
      </c>
      <c r="D27" s="129" t="inlineStr">
        <is>
          <t>NAPPA 410</t>
        </is>
      </c>
      <c r="E27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7" s="121" t="inlineStr">
        <is>
          <t>5903102000</t>
        </is>
      </c>
      <c r="G27" s="121" t="inlineStr">
        <is>
          <t>3921120000</t>
        </is>
      </c>
      <c r="H27" s="94" t="n">
        <v>1518</v>
      </c>
      <c r="I27" s="94" t="n">
        <v>1.43</v>
      </c>
      <c r="J27" s="202" t="n">
        <v>2170.74</v>
      </c>
      <c r="K27" s="94" t="n">
        <v>1024.65</v>
      </c>
      <c r="L27" s="94" t="n">
        <v>1077.68</v>
      </c>
      <c r="M27" s="203" t="n">
        <v>16.1</v>
      </c>
      <c r="N27" s="203" t="n">
        <v>24439.8</v>
      </c>
      <c r="O27" s="133" t="inlineStr">
        <is>
          <t>3921120000</t>
        </is>
      </c>
      <c r="P27" s="134" t="inlineStr">
        <is>
          <t>КИТАЙ</t>
        </is>
      </c>
      <c r="Q27" s="134" t="inlineStr">
        <is>
          <t xml:space="preserve">HANGZHOU ZHONGFANG TEXTILE IMP/EXP.CO.,LTD    </t>
        </is>
      </c>
      <c r="R27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7" s="6" t="inlineStr">
        <is>
          <t>NAPPA 410</t>
        </is>
      </c>
      <c r="T27" s="136" t="inlineStr">
        <is>
          <t>5903102000</t>
        </is>
      </c>
      <c r="U27" s="137" t="n">
        <v>34</v>
      </c>
      <c r="V27" s="137" t="n">
        <v>1.43</v>
      </c>
      <c r="W27" s="138" t="n">
        <v>2170.74</v>
      </c>
      <c r="X27" s="204" t="n">
        <v>1518</v>
      </c>
      <c r="Y27" s="87" t="n">
        <v>16.1</v>
      </c>
      <c r="Z27" s="205">
        <f>X27*Y27</f>
        <v/>
      </c>
      <c r="AA27" s="206" t="n">
        <v>1024.65</v>
      </c>
      <c r="AB27" s="207" t="n">
        <v>1077.6798</v>
      </c>
      <c r="AC27" s="144" t="inlineStr">
        <is>
          <t>01402</t>
        </is>
      </c>
      <c r="AD27" s="145" t="inlineStr">
        <is>
          <t>ЕАЭС N RU Д-CN.РА01.В.33158/23</t>
        </is>
      </c>
      <c r="AE27" s="130" t="n">
        <v>44957</v>
      </c>
      <c r="AF27" s="130" t="n">
        <v>46775</v>
      </c>
      <c r="AG27" s="146" t="inlineStr">
        <is>
          <t>HANGZHOU ZHONGFANG TEXTILE IMP./EXP. CO., LTD.</t>
        </is>
      </c>
    </row>
    <row r="28" ht="63.75" customFormat="1" customHeight="1" s="87">
      <c r="B28" s="142" t="n">
        <v>6</v>
      </c>
      <c r="C28" s="120" t="n">
        <v>25</v>
      </c>
      <c r="D28" s="129" t="inlineStr">
        <is>
          <t>NAPPA 490</t>
        </is>
      </c>
      <c r="E28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8" s="121" t="inlineStr">
        <is>
          <t>5903102000</t>
        </is>
      </c>
      <c r="G28" s="121" t="inlineStr">
        <is>
          <t>3921120000</t>
        </is>
      </c>
      <c r="H28" s="94" t="n">
        <v>1021</v>
      </c>
      <c r="I28" s="94" t="n">
        <v>1.43</v>
      </c>
      <c r="J28" s="202" t="n">
        <v>1460.03</v>
      </c>
      <c r="K28" s="94" t="n">
        <v>689.17</v>
      </c>
      <c r="L28" s="94" t="n">
        <v>728.17</v>
      </c>
      <c r="M28" s="203" t="n">
        <v>16.1</v>
      </c>
      <c r="N28" s="203" t="n">
        <v>16438.1</v>
      </c>
      <c r="O28" s="133" t="inlineStr">
        <is>
          <t>3921120000</t>
        </is>
      </c>
      <c r="P28" s="134" t="inlineStr">
        <is>
          <t>КИТАЙ</t>
        </is>
      </c>
      <c r="Q28" s="134" t="inlineStr">
        <is>
          <t xml:space="preserve">HANGZHOU ZHONGFANG TEXTILE IMP/EXP.CO.,LTD    </t>
        </is>
      </c>
      <c r="R28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8" s="6" t="inlineStr">
        <is>
          <t>NAPPA 490</t>
        </is>
      </c>
      <c r="T28" s="136" t="inlineStr">
        <is>
          <t>5903102000</t>
        </is>
      </c>
      <c r="U28" s="137" t="n">
        <v>25</v>
      </c>
      <c r="V28" s="137" t="n">
        <v>1.43</v>
      </c>
      <c r="W28" s="138" t="n">
        <v>1460.03</v>
      </c>
      <c r="X28" s="204" t="n">
        <v>1021</v>
      </c>
      <c r="Y28" s="87" t="n">
        <v>16.1</v>
      </c>
      <c r="Z28" s="205">
        <f>X28*Y28</f>
        <v/>
      </c>
      <c r="AA28" s="206" t="n">
        <v>689.17</v>
      </c>
      <c r="AB28" s="207" t="n">
        <v>728.1675000000002</v>
      </c>
      <c r="AC28" s="144" t="inlineStr">
        <is>
          <t>01402</t>
        </is>
      </c>
      <c r="AD28" s="145" t="inlineStr">
        <is>
          <t>ЕАЭС N RU Д-CN.РА01.В.33158/23</t>
        </is>
      </c>
      <c r="AE28" s="130" t="n">
        <v>44957</v>
      </c>
      <c r="AF28" s="130" t="n">
        <v>46775</v>
      </c>
      <c r="AG28" s="146" t="inlineStr">
        <is>
          <t>HANGZHOU ZHONGFANG TEXTILE IMP./EXP. CO., LTD.</t>
        </is>
      </c>
    </row>
    <row r="29" ht="63.75" customFormat="1" customHeight="1" s="87">
      <c r="B29" s="142" t="n">
        <v>7</v>
      </c>
      <c r="C29" s="120" t="n">
        <v>13</v>
      </c>
      <c r="D29" s="129" t="inlineStr">
        <is>
          <t>NAPPA 692</t>
        </is>
      </c>
      <c r="E29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9" s="121" t="inlineStr">
        <is>
          <t>5903102000</t>
        </is>
      </c>
      <c r="G29" s="121" t="inlineStr">
        <is>
          <t>3921120000</t>
        </is>
      </c>
      <c r="H29" s="94" t="n">
        <v>499</v>
      </c>
      <c r="I29" s="94" t="n">
        <v>1.43</v>
      </c>
      <c r="J29" s="202" t="n">
        <v>713.5700000000001</v>
      </c>
      <c r="K29" s="94" t="n">
        <v>336.82</v>
      </c>
      <c r="L29" s="94" t="n">
        <v>357.1</v>
      </c>
      <c r="M29" s="203" t="n">
        <v>16.1</v>
      </c>
      <c r="N29" s="203" t="n">
        <v>8033.9</v>
      </c>
      <c r="O29" s="133" t="inlineStr">
        <is>
          <t>3921120000</t>
        </is>
      </c>
      <c r="P29" s="134" t="inlineStr">
        <is>
          <t>КИТАЙ</t>
        </is>
      </c>
      <c r="Q29" s="134" t="inlineStr">
        <is>
          <t xml:space="preserve">HANGZHOU ZHONGFANG TEXTILE IMP/EXP.CO.,LTD    </t>
        </is>
      </c>
      <c r="R29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29" s="6" t="inlineStr">
        <is>
          <t>NAPPA 692</t>
        </is>
      </c>
      <c r="T29" s="136" t="inlineStr">
        <is>
          <t>5903102000</t>
        </is>
      </c>
      <c r="U29" s="137" t="n">
        <v>13</v>
      </c>
      <c r="V29" s="137" t="n">
        <v>1.43</v>
      </c>
      <c r="W29" s="138" t="n">
        <v>713.5699999999999</v>
      </c>
      <c r="X29" s="204" t="n">
        <v>499</v>
      </c>
      <c r="Y29" s="87" t="n">
        <v>16.1</v>
      </c>
      <c r="Z29" s="205">
        <f>X29*Y29</f>
        <v/>
      </c>
      <c r="AA29" s="206" t="n">
        <v>336.825</v>
      </c>
      <c r="AB29" s="207" t="n">
        <v>357.1011</v>
      </c>
      <c r="AC29" s="144" t="inlineStr">
        <is>
          <t>01402</t>
        </is>
      </c>
      <c r="AD29" s="145" t="inlineStr">
        <is>
          <t>ЕАЭС N RU Д-CN.РА01.В.33158/23</t>
        </is>
      </c>
      <c r="AE29" s="130" t="n">
        <v>44957</v>
      </c>
      <c r="AF29" s="130" t="n">
        <v>46775</v>
      </c>
      <c r="AG29" s="146" t="inlineStr">
        <is>
          <t>HANGZHOU ZHONGFANG TEXTILE IMP./EXP. CO., LTD.</t>
        </is>
      </c>
    </row>
    <row r="30" ht="63.75" customFormat="1" customHeight="1" s="87">
      <c r="B30" s="142" t="n">
        <v>8</v>
      </c>
      <c r="C30" s="120" t="n">
        <v>13</v>
      </c>
      <c r="D30" s="129" t="inlineStr">
        <is>
          <t>NAPPA 793</t>
        </is>
      </c>
      <c r="E30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0" s="121" t="inlineStr">
        <is>
          <t>5903102000</t>
        </is>
      </c>
      <c r="G30" s="121" t="inlineStr">
        <is>
          <t>3921120000</t>
        </is>
      </c>
      <c r="H30" s="94" t="n">
        <v>519.6</v>
      </c>
      <c r="I30" s="94" t="n">
        <v>1.43</v>
      </c>
      <c r="J30" s="202" t="n">
        <v>743.028</v>
      </c>
      <c r="K30" s="94" t="n">
        <v>350.73</v>
      </c>
      <c r="L30" s="94" t="n">
        <v>371.01</v>
      </c>
      <c r="M30" s="203" t="n">
        <v>16.1</v>
      </c>
      <c r="N30" s="203" t="n">
        <v>8365.559999999999</v>
      </c>
      <c r="O30" s="133" t="inlineStr">
        <is>
          <t>3921120000</t>
        </is>
      </c>
      <c r="P30" s="134" t="inlineStr">
        <is>
          <t>КИТАЙ</t>
        </is>
      </c>
      <c r="Q30" s="134" t="inlineStr">
        <is>
          <t xml:space="preserve">HANGZHOU ZHONGFANG TEXTILE IMP/EXP.CO.,LTD    </t>
        </is>
      </c>
      <c r="R30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0" s="6" t="inlineStr">
        <is>
          <t>NAPPA 793</t>
        </is>
      </c>
      <c r="T30" s="136" t="inlineStr">
        <is>
          <t>5903102000</t>
        </is>
      </c>
      <c r="U30" s="137" t="n">
        <v>13</v>
      </c>
      <c r="V30" s="137" t="n">
        <v>1.43</v>
      </c>
      <c r="W30" s="138" t="n">
        <v>743.028</v>
      </c>
      <c r="X30" s="204" t="n">
        <v>519.6</v>
      </c>
      <c r="Y30" s="87" t="n">
        <v>16.1</v>
      </c>
      <c r="Z30" s="205">
        <f>X30*Y30</f>
        <v/>
      </c>
      <c r="AA30" s="206" t="n">
        <v>350.73</v>
      </c>
      <c r="AB30" s="207" t="n">
        <v>371.0061000000001</v>
      </c>
      <c r="AC30" s="144" t="inlineStr">
        <is>
          <t>01402</t>
        </is>
      </c>
      <c r="AD30" s="145" t="inlineStr">
        <is>
          <t>ЕАЭС N RU Д-CN.РА01.В.33158/23</t>
        </is>
      </c>
      <c r="AE30" s="130" t="n">
        <v>44957</v>
      </c>
      <c r="AF30" s="130" t="n">
        <v>46775</v>
      </c>
      <c r="AG30" s="146" t="inlineStr">
        <is>
          <t>HANGZHOU ZHONGFANG TEXTILE IMP./EXP. CO., LTD.</t>
        </is>
      </c>
    </row>
    <row r="31" ht="63.75" customFormat="1" customHeight="1" s="87">
      <c r="B31" s="142" t="n">
        <v>9</v>
      </c>
      <c r="C31" s="120" t="n">
        <v>16</v>
      </c>
      <c r="D31" s="129" t="inlineStr">
        <is>
          <t>NAPPA 950</t>
        </is>
      </c>
      <c r="E31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1" s="121" t="inlineStr">
        <is>
          <t>5903102000</t>
        </is>
      </c>
      <c r="G31" s="121" t="inlineStr">
        <is>
          <t>3921120000</t>
        </is>
      </c>
      <c r="H31" s="94" t="n">
        <v>630</v>
      </c>
      <c r="I31" s="94" t="n">
        <v>1.43</v>
      </c>
      <c r="J31" s="202" t="n">
        <v>900.9</v>
      </c>
      <c r="K31" s="94" t="n">
        <v>425.25</v>
      </c>
      <c r="L31" s="94" t="n">
        <v>450.21</v>
      </c>
      <c r="M31" s="203" t="n">
        <v>16.1</v>
      </c>
      <c r="N31" s="203" t="n">
        <v>10143</v>
      </c>
      <c r="O31" s="133" t="inlineStr">
        <is>
          <t>3921120000</t>
        </is>
      </c>
      <c r="P31" s="134" t="inlineStr">
        <is>
          <t>КИТАЙ</t>
        </is>
      </c>
      <c r="Q31" s="134" t="inlineStr">
        <is>
          <t xml:space="preserve">HANGZHOU ZHONGFANG TEXTILE IMP/EXP.CO.,LTD    </t>
        </is>
      </c>
      <c r="R31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1" s="6" t="inlineStr">
        <is>
          <t>NAPPA 950</t>
        </is>
      </c>
      <c r="T31" s="136" t="inlineStr">
        <is>
          <t>5903102000</t>
        </is>
      </c>
      <c r="U31" s="137" t="n">
        <v>16</v>
      </c>
      <c r="V31" s="137" t="n">
        <v>1.43</v>
      </c>
      <c r="W31" s="138" t="n">
        <v>900.9</v>
      </c>
      <c r="X31" s="204" t="n">
        <v>630</v>
      </c>
      <c r="Y31" s="87" t="n">
        <v>16.1</v>
      </c>
      <c r="Z31" s="205">
        <f>X31*Y31</f>
        <v/>
      </c>
      <c r="AA31" s="206" t="n">
        <v>425.25</v>
      </c>
      <c r="AB31" s="207" t="n">
        <v>450.2052000000001</v>
      </c>
      <c r="AC31" s="144" t="inlineStr">
        <is>
          <t>01402</t>
        </is>
      </c>
      <c r="AD31" s="145" t="inlineStr">
        <is>
          <t>ЕАЭС N RU Д-CN.РА01.В.33158/23</t>
        </is>
      </c>
      <c r="AE31" s="130" t="n">
        <v>44957</v>
      </c>
      <c r="AF31" s="130" t="n">
        <v>46775</v>
      </c>
      <c r="AG31" s="146" t="inlineStr">
        <is>
          <t>HANGZHOU ZHONGFANG TEXTILE IMP./EXP. CO., LTD.</t>
        </is>
      </c>
    </row>
    <row r="32" ht="63.75" customFormat="1" customHeight="1" s="87">
      <c r="B32" s="142" t="n">
        <v>10</v>
      </c>
      <c r="C32" s="120" t="n">
        <v>13</v>
      </c>
      <c r="D32" s="129" t="inlineStr">
        <is>
          <t>NAPPA 968</t>
        </is>
      </c>
      <c r="E32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2" s="121" t="inlineStr">
        <is>
          <t>5903102000</t>
        </is>
      </c>
      <c r="G32" s="121" t="inlineStr">
        <is>
          <t>3921120000</t>
        </is>
      </c>
      <c r="H32" s="94" t="n">
        <v>523</v>
      </c>
      <c r="I32" s="94" t="n">
        <v>1.43</v>
      </c>
      <c r="J32" s="202" t="n">
        <v>747.89</v>
      </c>
      <c r="K32" s="94" t="n">
        <v>353.02</v>
      </c>
      <c r="L32" s="94" t="n">
        <v>373.3</v>
      </c>
      <c r="M32" s="203" t="n">
        <v>16.1</v>
      </c>
      <c r="N32" s="203" t="n">
        <v>8420.299999999999</v>
      </c>
      <c r="O32" s="133" t="inlineStr">
        <is>
          <t>3921120000</t>
        </is>
      </c>
      <c r="P32" s="134" t="inlineStr">
        <is>
          <t>КИТАЙ</t>
        </is>
      </c>
      <c r="Q32" s="134" t="inlineStr">
        <is>
          <t xml:space="preserve">HANGZHOU ZHONGFANG TEXTILE IMP/EXP.CO.,LTD    </t>
        </is>
      </c>
      <c r="R32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2" s="6" t="inlineStr">
        <is>
          <t>NAPPA 968</t>
        </is>
      </c>
      <c r="T32" s="136" t="inlineStr">
        <is>
          <t>5903102000</t>
        </is>
      </c>
      <c r="U32" s="137" t="n">
        <v>13</v>
      </c>
      <c r="V32" s="137" t="n">
        <v>1.43</v>
      </c>
      <c r="W32" s="138" t="n">
        <v>747.89</v>
      </c>
      <c r="X32" s="204" t="n">
        <v>523</v>
      </c>
      <c r="Y32" s="87" t="n">
        <v>16.1</v>
      </c>
      <c r="Z32" s="205">
        <f>X32*Y32</f>
        <v/>
      </c>
      <c r="AA32" s="206" t="n">
        <v>353.025</v>
      </c>
      <c r="AB32" s="207" t="n">
        <v>373.3011</v>
      </c>
      <c r="AC32" s="144" t="inlineStr">
        <is>
          <t>01402</t>
        </is>
      </c>
      <c r="AD32" s="145" t="inlineStr">
        <is>
          <t>ЕАЭС N RU Д-CN.РА01.В.33158/23</t>
        </is>
      </c>
      <c r="AE32" s="130" t="n">
        <v>44957</v>
      </c>
      <c r="AF32" s="130" t="n">
        <v>46775</v>
      </c>
      <c r="AG32" s="146" t="inlineStr">
        <is>
          <t>HANGZHOU ZHONGFANG TEXTILE IMP./EXP. CO., LTD.</t>
        </is>
      </c>
    </row>
    <row r="33" ht="63.75" customFormat="1" customHeight="1" s="87">
      <c r="B33" s="142" t="n">
        <v>11</v>
      </c>
      <c r="C33" s="120" t="n">
        <v>24</v>
      </c>
      <c r="D33" s="129" t="inlineStr">
        <is>
          <t>NAPPA 990</t>
        </is>
      </c>
      <c r="E33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3" s="121" t="inlineStr">
        <is>
          <t>5903102000</t>
        </is>
      </c>
      <c r="G33" s="121" t="inlineStr">
        <is>
          <t>3921120000</t>
        </is>
      </c>
      <c r="H33" s="94" t="n">
        <v>985.3</v>
      </c>
      <c r="I33" s="94" t="n">
        <v>1.43</v>
      </c>
      <c r="J33" s="202" t="n">
        <v>1408.979</v>
      </c>
      <c r="K33" s="94" t="n">
        <v>665.08</v>
      </c>
      <c r="L33" s="94" t="n">
        <v>702.51</v>
      </c>
      <c r="M33" s="203" t="n">
        <v>16.1</v>
      </c>
      <c r="N33" s="203" t="n">
        <v>15863.33</v>
      </c>
      <c r="O33" s="133" t="inlineStr">
        <is>
          <t>3921120000</t>
        </is>
      </c>
      <c r="P33" s="134" t="inlineStr">
        <is>
          <t>КИТАЙ</t>
        </is>
      </c>
      <c r="Q33" s="134" t="inlineStr">
        <is>
          <t xml:space="preserve">HANGZHOU ZHONGFANG TEXTILE IMP/EXP.CO.,LTD    </t>
        </is>
      </c>
      <c r="R33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3" s="6" t="inlineStr">
        <is>
          <t>NAPPA 990</t>
        </is>
      </c>
      <c r="T33" s="136" t="inlineStr">
        <is>
          <t>5903102000</t>
        </is>
      </c>
      <c r="U33" s="137" t="n">
        <v>24</v>
      </c>
      <c r="V33" s="137" t="n">
        <v>1.43</v>
      </c>
      <c r="W33" s="138" t="n">
        <v>1408.979</v>
      </c>
      <c r="X33" s="204" t="n">
        <v>985.3</v>
      </c>
      <c r="Y33" s="87" t="n">
        <v>16.1</v>
      </c>
      <c r="Z33" s="205">
        <f>X33*Y33</f>
        <v/>
      </c>
      <c r="AA33" s="206" t="n">
        <v>665.0775000000001</v>
      </c>
      <c r="AB33" s="207" t="n">
        <v>702.5103000000001</v>
      </c>
      <c r="AC33" s="144" t="inlineStr">
        <is>
          <t>01402</t>
        </is>
      </c>
      <c r="AD33" s="145" t="inlineStr">
        <is>
          <t>ЕАЭС N RU Д-CN.РА01.В.33158/23</t>
        </is>
      </c>
      <c r="AE33" s="130" t="n">
        <v>44957</v>
      </c>
      <c r="AF33" s="130" t="n">
        <v>46775</v>
      </c>
      <c r="AG33" s="146" t="inlineStr">
        <is>
          <t>HANGZHOU ZHONGFANG TEXTILE IMP./EXP. CO., LTD.</t>
        </is>
      </c>
    </row>
    <row r="34" ht="63.75" customFormat="1" customHeight="1" s="87">
      <c r="B34" s="142" t="n">
        <v>12</v>
      </c>
      <c r="C34" s="120" t="n">
        <v>23</v>
      </c>
      <c r="D34" s="129" t="inlineStr">
        <is>
          <t>NAPPA 993</t>
        </is>
      </c>
      <c r="E34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34" s="121" t="inlineStr">
        <is>
          <t>5903102000</t>
        </is>
      </c>
      <c r="G34" s="121" t="inlineStr">
        <is>
          <t>3921120000</t>
        </is>
      </c>
      <c r="H34" s="94" t="n">
        <v>1030</v>
      </c>
      <c r="I34" s="94" t="n">
        <v>1.43</v>
      </c>
      <c r="J34" s="202" t="n">
        <v>1472.9</v>
      </c>
      <c r="K34" s="94" t="n">
        <v>695.25</v>
      </c>
      <c r="L34" s="94" t="n">
        <v>731.12</v>
      </c>
      <c r="M34" s="203" t="n">
        <v>16.1</v>
      </c>
      <c r="N34" s="203" t="n">
        <v>16583</v>
      </c>
      <c r="O34" s="133" t="inlineStr">
        <is>
          <t>3921120000</t>
        </is>
      </c>
      <c r="P34" s="134" t="inlineStr">
        <is>
          <t>КИТАЙ</t>
        </is>
      </c>
      <c r="Q34" s="134" t="inlineStr">
        <is>
          <t xml:space="preserve">HANGZHOU ZHONGFANG TEXTILE IMP/EXP.CO.,LTD    </t>
        </is>
      </c>
      <c r="R34" s="135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S34" s="6" t="inlineStr">
        <is>
          <t>NAPPA 993</t>
        </is>
      </c>
      <c r="T34" s="136" t="inlineStr">
        <is>
          <t>5903102000</t>
        </is>
      </c>
      <c r="U34" s="137" t="n">
        <v>23</v>
      </c>
      <c r="V34" s="137" t="n">
        <v>1.43</v>
      </c>
      <c r="W34" s="138" t="n">
        <v>1472.9</v>
      </c>
      <c r="X34" s="204" t="n">
        <v>1030</v>
      </c>
      <c r="Y34" s="87" t="n">
        <v>16.1</v>
      </c>
      <c r="Z34" s="205">
        <f>X34*Y34</f>
        <v/>
      </c>
      <c r="AA34" s="206" t="n">
        <v>695.25</v>
      </c>
      <c r="AB34" s="207" t="n">
        <v>731.1231000000001</v>
      </c>
      <c r="AC34" s="144" t="inlineStr">
        <is>
          <t>01402</t>
        </is>
      </c>
      <c r="AD34" s="145" t="inlineStr">
        <is>
          <t>ЕАЭС N RU Д-CN.РА01.В.33158/23</t>
        </is>
      </c>
      <c r="AE34" s="130" t="n">
        <v>44957</v>
      </c>
      <c r="AF34" s="130" t="n">
        <v>46775</v>
      </c>
      <c r="AG34" s="146" t="inlineStr">
        <is>
          <t>HANGZHOU ZHONGFANG TEXTILE IMP./EXP. CO., LTD.</t>
        </is>
      </c>
    </row>
    <row r="35" ht="63.75" customFormat="1" customHeight="1" s="87">
      <c r="B35" s="142" t="n">
        <v>13</v>
      </c>
      <c r="C35" s="120" t="n">
        <v>21</v>
      </c>
      <c r="D35" s="129" t="inlineStr">
        <is>
          <t>Magic 01</t>
        </is>
      </c>
      <c r="E35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5" s="121" t="inlineStr">
        <is>
          <t>5903202000</t>
        </is>
      </c>
      <c r="G35" s="121" t="inlineStr">
        <is>
          <t>3921131000</t>
        </is>
      </c>
      <c r="H35" s="94" t="n">
        <v>694</v>
      </c>
      <c r="I35" s="94" t="n">
        <v>1.42</v>
      </c>
      <c r="J35" s="202" t="n">
        <v>985.48</v>
      </c>
      <c r="K35" s="94" t="n">
        <v>485.8</v>
      </c>
      <c r="L35" s="94" t="n">
        <v>506.92</v>
      </c>
      <c r="M35" s="203" t="n">
        <v>44.1</v>
      </c>
      <c r="N35" s="203" t="n">
        <v>30605.4</v>
      </c>
      <c r="O35" s="133" t="inlineStr">
        <is>
          <t>3921131000</t>
        </is>
      </c>
      <c r="P35" s="134" t="inlineStr">
        <is>
          <t>КИТАЙ</t>
        </is>
      </c>
      <c r="Q35" s="134" t="inlineStr">
        <is>
          <t xml:space="preserve">HANGZHOU ZHONGFANG TEXTILE IMP/EXP.CO.,LTD    </t>
        </is>
      </c>
      <c r="R35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5" s="6" t="inlineStr">
        <is>
          <t>Magic 01</t>
        </is>
      </c>
      <c r="T35" s="136" t="inlineStr">
        <is>
          <t>5903202000</t>
        </is>
      </c>
      <c r="U35" s="137" t="n">
        <v>21</v>
      </c>
      <c r="V35" s="137" t="n">
        <v>1.42</v>
      </c>
      <c r="W35" s="138" t="n">
        <v>985.4799999999999</v>
      </c>
      <c r="X35" s="204" t="n">
        <v>694</v>
      </c>
      <c r="Y35" s="87" t="n">
        <v>44.1</v>
      </c>
      <c r="Z35" s="205">
        <f>X35*Y35</f>
        <v/>
      </c>
      <c r="AA35" s="206" t="n">
        <v>485.8</v>
      </c>
      <c r="AB35" s="207" t="n">
        <v>506.9176000000002</v>
      </c>
      <c r="AC35" s="144" t="inlineStr">
        <is>
          <t>01402</t>
        </is>
      </c>
      <c r="AD35" s="145" t="inlineStr">
        <is>
          <t>ЕАЭС N RU Д-CN.РА01.В.33158/23</t>
        </is>
      </c>
      <c r="AE35" s="130" t="n">
        <v>44957</v>
      </c>
      <c r="AF35" s="130" t="n">
        <v>46775</v>
      </c>
      <c r="AG35" s="146" t="inlineStr">
        <is>
          <t>HANGZHOU ZHONGFANG TEXTILE IMP./EXP. CO., LTD.</t>
        </is>
      </c>
    </row>
    <row r="36" ht="63.75" customFormat="1" customHeight="1" s="87">
      <c r="B36" s="142" t="n">
        <v>14</v>
      </c>
      <c r="C36" s="120" t="n">
        <v>15</v>
      </c>
      <c r="D36" s="129" t="inlineStr">
        <is>
          <t>Magic 02</t>
        </is>
      </c>
      <c r="E36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6" s="121" t="inlineStr">
        <is>
          <t>5903202000</t>
        </is>
      </c>
      <c r="G36" s="121" t="inlineStr">
        <is>
          <t>3921131000</t>
        </is>
      </c>
      <c r="H36" s="94" t="n">
        <v>501</v>
      </c>
      <c r="I36" s="94" t="n">
        <v>1.42</v>
      </c>
      <c r="J36" s="202" t="n">
        <v>711.42</v>
      </c>
      <c r="K36" s="94" t="n">
        <v>350.7</v>
      </c>
      <c r="L36" s="94" t="n">
        <v>365.78</v>
      </c>
      <c r="M36" s="203" t="n">
        <v>44.1</v>
      </c>
      <c r="N36" s="203" t="n">
        <v>22094.1</v>
      </c>
      <c r="O36" s="133" t="inlineStr">
        <is>
          <t>3921131000</t>
        </is>
      </c>
      <c r="P36" s="134" t="inlineStr">
        <is>
          <t>КИТАЙ</t>
        </is>
      </c>
      <c r="Q36" s="134" t="inlineStr">
        <is>
          <t xml:space="preserve">HANGZHOU ZHONGFANG TEXTILE IMP/EXP.CO.,LTD    </t>
        </is>
      </c>
      <c r="R36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6" s="6" t="inlineStr">
        <is>
          <t>Magic 02</t>
        </is>
      </c>
      <c r="T36" s="136" t="inlineStr">
        <is>
          <t>5903202000</t>
        </is>
      </c>
      <c r="U36" s="137" t="n">
        <v>15</v>
      </c>
      <c r="V36" s="137" t="n">
        <v>1.42</v>
      </c>
      <c r="W36" s="138" t="n">
        <v>711.42</v>
      </c>
      <c r="X36" s="204" t="n">
        <v>501</v>
      </c>
      <c r="Y36" s="87" t="n">
        <v>44.1</v>
      </c>
      <c r="Z36" s="205">
        <f>X36*Y36</f>
        <v/>
      </c>
      <c r="AA36" s="206" t="n">
        <v>350.7</v>
      </c>
      <c r="AB36" s="207" t="n">
        <v>365.784</v>
      </c>
      <c r="AC36" s="144" t="inlineStr">
        <is>
          <t>01402</t>
        </is>
      </c>
      <c r="AD36" s="145" t="inlineStr">
        <is>
          <t>ЕАЭС N RU Д-CN.РА01.В.33158/23</t>
        </is>
      </c>
      <c r="AE36" s="130" t="n">
        <v>44957</v>
      </c>
      <c r="AF36" s="130" t="n">
        <v>46775</v>
      </c>
      <c r="AG36" s="146" t="inlineStr">
        <is>
          <t>HANGZHOU ZHONGFANG TEXTILE IMP./EXP. CO., LTD.</t>
        </is>
      </c>
    </row>
    <row r="37" ht="63.75" customFormat="1" customHeight="1" s="87">
      <c r="B37" s="142" t="n">
        <v>15</v>
      </c>
      <c r="C37" s="120" t="n">
        <v>16</v>
      </c>
      <c r="D37" s="129" t="inlineStr">
        <is>
          <t>Magic 12</t>
        </is>
      </c>
      <c r="E37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7" s="121" t="inlineStr">
        <is>
          <t>5903202000</t>
        </is>
      </c>
      <c r="G37" s="121" t="inlineStr">
        <is>
          <t>3921131000</t>
        </is>
      </c>
      <c r="H37" s="94" t="n">
        <v>542</v>
      </c>
      <c r="I37" s="94" t="n">
        <v>1.42</v>
      </c>
      <c r="J37" s="202" t="n">
        <v>769.64</v>
      </c>
      <c r="K37" s="94" t="n">
        <v>379.4</v>
      </c>
      <c r="L37" s="94" t="n">
        <v>395.49</v>
      </c>
      <c r="M37" s="203" t="n">
        <v>44.1</v>
      </c>
      <c r="N37" s="203" t="n">
        <v>23902.2</v>
      </c>
      <c r="O37" s="133" t="inlineStr">
        <is>
          <t>3921131000</t>
        </is>
      </c>
      <c r="P37" s="134" t="inlineStr">
        <is>
          <t>КИТАЙ</t>
        </is>
      </c>
      <c r="Q37" s="134" t="inlineStr">
        <is>
          <t xml:space="preserve">HANGZHOU ZHONGFANG TEXTILE IMP/EXP.CO.,LTD    </t>
        </is>
      </c>
      <c r="R37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7" s="6" t="inlineStr">
        <is>
          <t>Magic 12</t>
        </is>
      </c>
      <c r="T37" s="136" t="inlineStr">
        <is>
          <t>5903202000</t>
        </is>
      </c>
      <c r="U37" s="137" t="n">
        <v>16</v>
      </c>
      <c r="V37" s="137" t="n">
        <v>1.42</v>
      </c>
      <c r="W37" s="138" t="n">
        <v>769.64</v>
      </c>
      <c r="X37" s="204" t="n">
        <v>542</v>
      </c>
      <c r="Y37" s="87" t="n">
        <v>44.1</v>
      </c>
      <c r="Z37" s="205">
        <f>X37*Y37</f>
        <v/>
      </c>
      <c r="AA37" s="206" t="n">
        <v>379.4</v>
      </c>
      <c r="AB37" s="207" t="n">
        <v>395.4896000000001</v>
      </c>
      <c r="AC37" s="144" t="inlineStr">
        <is>
          <t>01402</t>
        </is>
      </c>
      <c r="AD37" s="145" t="inlineStr">
        <is>
          <t>ЕАЭС N RU Д-CN.РА01.В.33158/23</t>
        </is>
      </c>
      <c r="AE37" s="130" t="n">
        <v>44957</v>
      </c>
      <c r="AF37" s="130" t="n">
        <v>46775</v>
      </c>
      <c r="AG37" s="146" t="inlineStr">
        <is>
          <t>HANGZHOU ZHONGFANG TEXTILE IMP./EXP. CO., LTD.</t>
        </is>
      </c>
    </row>
    <row r="38" ht="63.75" customFormat="1" customHeight="1" s="87">
      <c r="B38" s="142" t="n">
        <v>16</v>
      </c>
      <c r="C38" s="120" t="n">
        <v>19</v>
      </c>
      <c r="D38" s="129" t="inlineStr">
        <is>
          <t>Magic 17</t>
        </is>
      </c>
      <c r="E38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8" s="121" t="inlineStr">
        <is>
          <t>5903202000</t>
        </is>
      </c>
      <c r="G38" s="121" t="inlineStr">
        <is>
          <t>3921131000</t>
        </is>
      </c>
      <c r="H38" s="94" t="n">
        <v>631</v>
      </c>
      <c r="I38" s="94" t="n">
        <v>1.42</v>
      </c>
      <c r="J38" s="202" t="n">
        <v>896.02</v>
      </c>
      <c r="K38" s="94" t="n">
        <v>441.7</v>
      </c>
      <c r="L38" s="94" t="n">
        <v>460.81</v>
      </c>
      <c r="M38" s="203" t="n">
        <v>44.1</v>
      </c>
      <c r="N38" s="203" t="n">
        <v>27827.1</v>
      </c>
      <c r="O38" s="133" t="inlineStr">
        <is>
          <t>3921131000</t>
        </is>
      </c>
      <c r="P38" s="134" t="inlineStr">
        <is>
          <t>КИТАЙ</t>
        </is>
      </c>
      <c r="Q38" s="134" t="inlineStr">
        <is>
          <t xml:space="preserve">HANGZHOU ZHONGFANG TEXTILE IMP/EXP.CO.,LTD    </t>
        </is>
      </c>
      <c r="R38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8" s="6" t="inlineStr">
        <is>
          <t>Magic 17</t>
        </is>
      </c>
      <c r="T38" s="136" t="inlineStr">
        <is>
          <t>5903202000</t>
        </is>
      </c>
      <c r="U38" s="137" t="n">
        <v>19</v>
      </c>
      <c r="V38" s="137" t="n">
        <v>1.42</v>
      </c>
      <c r="W38" s="138" t="n">
        <v>896.02</v>
      </c>
      <c r="X38" s="204" t="n">
        <v>631</v>
      </c>
      <c r="Y38" s="87" t="n">
        <v>44.1</v>
      </c>
      <c r="Z38" s="205">
        <f>X38*Y38</f>
        <v/>
      </c>
      <c r="AA38" s="206" t="n">
        <v>441.7</v>
      </c>
      <c r="AB38" s="207" t="n">
        <v>460.8064000000001</v>
      </c>
      <c r="AC38" s="144" t="inlineStr">
        <is>
          <t>01402</t>
        </is>
      </c>
      <c r="AD38" s="145" t="inlineStr">
        <is>
          <t>ЕАЭС N RU Д-CN.РА01.В.33158/23</t>
        </is>
      </c>
      <c r="AE38" s="130" t="n">
        <v>44957</v>
      </c>
      <c r="AF38" s="130" t="n">
        <v>46775</v>
      </c>
      <c r="AG38" s="146" t="inlineStr">
        <is>
          <t>HANGZHOU ZHONGFANG TEXTILE IMP./EXP. CO., LTD.</t>
        </is>
      </c>
    </row>
    <row r="39" ht="63.75" customFormat="1" customHeight="1" s="87">
      <c r="B39" s="142" t="n">
        <v>17</v>
      </c>
      <c r="C39" s="120" t="n">
        <v>38</v>
      </c>
      <c r="D39" s="129" t="inlineStr">
        <is>
          <t>Magic 20</t>
        </is>
      </c>
      <c r="E39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39" s="121" t="inlineStr">
        <is>
          <t>5903202000</t>
        </is>
      </c>
      <c r="G39" s="121" t="inlineStr">
        <is>
          <t>3921131000</t>
        </is>
      </c>
      <c r="H39" s="94" t="n">
        <v>1301</v>
      </c>
      <c r="I39" s="94" t="n">
        <v>1.42</v>
      </c>
      <c r="J39" s="202" t="n">
        <v>1847.42</v>
      </c>
      <c r="K39" s="94" t="n">
        <v>910.7</v>
      </c>
      <c r="L39" s="94" t="n">
        <v>949</v>
      </c>
      <c r="M39" s="203" t="n">
        <v>45.4</v>
      </c>
      <c r="N39" s="203" t="n">
        <v>59065.4</v>
      </c>
      <c r="O39" s="133" t="inlineStr">
        <is>
          <t>3921131000</t>
        </is>
      </c>
      <c r="P39" s="134" t="inlineStr">
        <is>
          <t>КИТАЙ</t>
        </is>
      </c>
      <c r="Q39" s="134" t="inlineStr">
        <is>
          <t xml:space="preserve">HANGZHOU ZHONGFANG TEXTILE IMP/EXP.CO.,LTD    </t>
        </is>
      </c>
      <c r="R39" s="135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S39" s="6" t="inlineStr">
        <is>
          <t>Magic 20</t>
        </is>
      </c>
      <c r="T39" s="136" t="inlineStr">
        <is>
          <t>5903202000</t>
        </is>
      </c>
      <c r="U39" s="137" t="n">
        <v>38</v>
      </c>
      <c r="V39" s="137" t="n">
        <v>1.42</v>
      </c>
      <c r="W39" s="138" t="n">
        <v>1847.42</v>
      </c>
      <c r="X39" s="204" t="n">
        <v>1301</v>
      </c>
      <c r="Y39" s="87" t="n">
        <v>45.4</v>
      </c>
      <c r="Z39" s="205">
        <f>X39*Y39</f>
        <v/>
      </c>
      <c r="AA39" s="206" t="n">
        <v>910.7</v>
      </c>
      <c r="AB39" s="207" t="n">
        <v>949.0001999999993</v>
      </c>
      <c r="AC39" s="144" t="inlineStr">
        <is>
          <t>01402</t>
        </is>
      </c>
      <c r="AD39" s="145" t="inlineStr">
        <is>
          <t>ЕАЭС N RU Д-CN.РА01.В.33158/23</t>
        </is>
      </c>
      <c r="AE39" s="130" t="n">
        <v>44957</v>
      </c>
      <c r="AF39" s="130" t="n">
        <v>46775</v>
      </c>
      <c r="AG39" s="146" t="inlineStr">
        <is>
          <t>HANGZHOU ZHONGFANG TEXTILE IMP./EXP. CO., LTD.</t>
        </is>
      </c>
    </row>
    <row r="40" ht="19.5" customHeight="1" s="11">
      <c r="B40" s="95" t="inlineStr">
        <is>
          <t>Total/Итого:</t>
        </is>
      </c>
      <c r="C40" s="96" t="n">
        <v>379</v>
      </c>
      <c r="D40" s="96" t="n"/>
      <c r="E40" s="97" t="n"/>
      <c r="F40" s="79" t="n"/>
      <c r="G40" s="79" t="n"/>
      <c r="H40" s="90" t="n">
        <v>15077.7</v>
      </c>
      <c r="I40" s="208" t="n"/>
      <c r="J40" s="209" t="n">
        <v>21524.421</v>
      </c>
      <c r="K40" s="90" t="n">
        <v>10269.16</v>
      </c>
      <c r="L40" s="90" t="n">
        <v>10799.99</v>
      </c>
      <c r="M40" s="210" t="n"/>
      <c r="N40" s="90" t="n">
        <v>347174.27</v>
      </c>
      <c r="O40" s="92" t="n"/>
      <c r="P40" s="92" t="n"/>
      <c r="Q40" s="92" t="n"/>
      <c r="R40" s="211" t="n"/>
      <c r="T40" s="92" t="n"/>
      <c r="U40" s="7" t="n"/>
      <c r="V40" s="92" t="n"/>
      <c r="W40" s="92" t="n"/>
      <c r="X40" s="99" t="n"/>
      <c r="Y40" s="92" t="n"/>
      <c r="Z40" s="92" t="n"/>
      <c r="AA40" s="92" t="n"/>
      <c r="AB40" s="92" t="n"/>
      <c r="AC40" s="92" t="n"/>
      <c r="AD40" s="92" t="n"/>
      <c r="AE40" s="92" t="n"/>
      <c r="AF40" s="92" t="n"/>
      <c r="AG40" s="92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24" customHeight="1" s="11">
      <c r="B41" s="34" t="n"/>
      <c r="C41" s="34" t="n"/>
      <c r="D41" s="34" t="n"/>
      <c r="E41" s="53" t="n"/>
      <c r="F41" s="35" t="n"/>
      <c r="G41" s="35" t="n"/>
      <c r="H41" s="212" t="n"/>
      <c r="I41" s="212" t="n"/>
      <c r="J41" s="213" t="n"/>
      <c r="K41" s="58" t="n"/>
      <c r="L41" s="214" t="n"/>
      <c r="M41" s="212" t="n"/>
      <c r="N41" s="213" t="n"/>
      <c r="O41" s="7" t="n"/>
      <c r="P41" s="7" t="n"/>
      <c r="Q41" s="7" t="n"/>
      <c r="R41" s="181" t="n"/>
      <c r="T41" s="7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16.5" customHeight="1" s="11">
      <c r="C42" s="163" t="inlineStr">
        <is>
          <t>Продавец:</t>
        </is>
      </c>
      <c r="D42" s="163" t="n"/>
      <c r="E42" s="54" t="n"/>
      <c r="F42" s="38" t="n"/>
      <c r="G42" s="38" t="n"/>
      <c r="H42" s="6" t="n"/>
      <c r="I42" s="163" t="inlineStr">
        <is>
          <t>Seller:</t>
        </is>
      </c>
      <c r="J42" s="213" t="n"/>
      <c r="K42" s="58" t="n"/>
      <c r="L42" s="214" t="n"/>
      <c r="M42" s="58" t="n"/>
      <c r="N42" s="213" t="n"/>
      <c r="O42" s="6" t="n"/>
      <c r="P42" s="6" t="n"/>
      <c r="Q42" s="6" t="n"/>
      <c r="R42" s="185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21" customHeight="1" s="11">
      <c r="C43" s="163" t="inlineStr">
        <is>
          <t>HANGZHOU ZHONGFANG TEXTILE IMP./EXP. CO., LTD.</t>
        </is>
      </c>
      <c r="F43" s="40" t="n"/>
      <c r="G43" s="40" t="n"/>
      <c r="H43" s="6" t="n"/>
      <c r="I43" s="164" t="inlineStr">
        <is>
          <t>HANGZHOU ZHONGFANG TEXTILE IMP./EXP. CO., LTD</t>
        </is>
      </c>
      <c r="O43" s="6" t="n"/>
      <c r="P43" s="6" t="n"/>
      <c r="Q43" s="6" t="n"/>
      <c r="R43" s="185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" customHeight="1" s="11">
      <c r="C44" s="165" t="inlineStr">
        <is>
          <t>Адрес:NO.756-2,RENMIN AVENUE,NANYUAN STREET,YUHANG DISTRICT,</t>
        </is>
      </c>
      <c r="F44" s="42" t="n"/>
      <c r="G44" s="42" t="n"/>
      <c r="H44" s="6" t="n"/>
      <c r="I44" s="165" t="inlineStr">
        <is>
          <t>Address:NO.756-2,RENMIN AVENUE,NANYUAN STREET,YUHANG DISTRICT,</t>
        </is>
      </c>
      <c r="O44" s="6" t="n"/>
      <c r="P44" s="6" t="n"/>
      <c r="Q44" s="6" t="n"/>
      <c r="R44" s="185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2.75" customHeight="1" s="11">
      <c r="C45" s="165" t="inlineStr">
        <is>
          <t>HANGZHOU, ZHEJIANG PROVINCE CHINA</t>
        </is>
      </c>
      <c r="F45" s="42" t="n"/>
      <c r="G45" s="42" t="n"/>
      <c r="H45" s="6" t="n"/>
      <c r="I45" s="165" t="inlineStr">
        <is>
          <t>HANGZHOU, ZHEJIANG PROVINCE CHINA</t>
        </is>
      </c>
      <c r="O45" s="6" t="n"/>
      <c r="P45" s="6" t="n"/>
      <c r="Q45" s="6" t="n"/>
      <c r="R45" s="185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6" t="n"/>
      <c r="DX45" s="6" t="n"/>
      <c r="DY45" s="6" t="n"/>
      <c r="DZ45" s="6" t="n"/>
      <c r="EA45" s="6" t="n"/>
      <c r="EB45" s="6" t="n"/>
      <c r="EC45" s="6" t="n"/>
      <c r="ED45" s="6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25.5" customHeight="1" s="11">
      <c r="C46" s="165" t="inlineStr">
        <is>
          <t>Адрес склада:West 1/F Bld 3, No. 503 Shunfeng Road, Qianjiang Economic Development Zone, Yuhang District, Hangzhou, Zhejiang Province, China</t>
        </is>
      </c>
      <c r="F46" s="42" t="n"/>
      <c r="G46" s="42" t="n"/>
      <c r="H46" s="6" t="n"/>
      <c r="I46" s="165" t="inlineStr">
        <is>
          <t>Warehouse address:West 1/F Bld 3, No. 503 Shunfeng Road, Qianjiang Economic Development Zone, Yuhang District, Hangzhou, Zhejiang Province, China</t>
        </is>
      </c>
      <c r="O46" s="6" t="n"/>
      <c r="P46" s="6" t="n"/>
      <c r="Q46" s="6" t="n"/>
      <c r="R46" s="185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6" t="n"/>
      <c r="DX46" s="6" t="n"/>
      <c r="DY46" s="6" t="n"/>
      <c r="DZ46" s="6" t="n"/>
      <c r="EA46" s="6" t="n"/>
      <c r="EB46" s="6" t="n"/>
      <c r="EC46" s="6" t="n"/>
      <c r="ED46" s="6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5.75" customHeight="1" s="11">
      <c r="C47" s="166" t="inlineStr">
        <is>
          <t>Телефон: +86-571-86255881</t>
        </is>
      </c>
      <c r="F47" s="38" t="n"/>
      <c r="G47" s="38" t="n"/>
      <c r="H47" s="6" t="n"/>
      <c r="I47" s="165" t="inlineStr">
        <is>
          <t>Tel.: +86-571-86255881</t>
        </is>
      </c>
      <c r="O47" s="6" t="n"/>
      <c r="P47" s="6" t="n"/>
      <c r="Q47" s="6" t="n"/>
      <c r="R47" s="185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6" t="n"/>
      <c r="DX47" s="6" t="n"/>
      <c r="DY47" s="6" t="n"/>
      <c r="DZ47" s="6" t="n"/>
      <c r="EA47" s="6" t="n"/>
      <c r="EB47" s="6" t="n"/>
      <c r="EC47" s="6" t="n"/>
      <c r="ED47" s="6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.75" customHeight="1" s="11">
      <c r="C48" s="167" t="inlineStr">
        <is>
          <t>Вебсайт:http://www.zhongfanghz.cn/</t>
        </is>
      </c>
      <c r="F48" s="43" t="n"/>
      <c r="G48" s="43" t="n"/>
      <c r="H48" s="6" t="n"/>
      <c r="I48" s="168" t="inlineStr">
        <is>
          <t>Website:http://www.zhongfanghz.cn/</t>
        </is>
      </c>
      <c r="M48" s="58" t="n"/>
      <c r="N48" s="213" t="n"/>
      <c r="O48" s="6" t="n"/>
      <c r="P48" s="6" t="n"/>
      <c r="Q48" s="6" t="n"/>
      <c r="R48" s="185" t="n"/>
      <c r="T48" s="6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6" t="n"/>
      <c r="DX48" s="6" t="n"/>
      <c r="DY48" s="6" t="n"/>
      <c r="DZ48" s="6" t="n"/>
      <c r="EA48" s="6" t="n"/>
      <c r="EB48" s="6" t="n"/>
      <c r="EC48" s="6" t="n"/>
      <c r="ED48" s="6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6.5" customHeight="1" s="11">
      <c r="C49" s="166" t="inlineStr">
        <is>
          <t>E-mail: liuzhihui@zhongfanghz.cn</t>
        </is>
      </c>
      <c r="F49" s="42" t="n"/>
      <c r="G49" s="42" t="n"/>
      <c r="H49" s="6" t="n"/>
      <c r="I49" s="165" t="inlineStr">
        <is>
          <t>Email: liuzhihui@zhongfanghz.cn</t>
        </is>
      </c>
      <c r="O49" s="6" t="n"/>
      <c r="P49" s="6" t="n"/>
      <c r="Q49" s="6" t="n"/>
      <c r="R49" s="185" t="n"/>
      <c r="T49" s="6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9.5" customHeight="1" s="11">
      <c r="C50" s="170" t="inlineStr">
        <is>
          <t>Банковские реквизиты:</t>
        </is>
      </c>
      <c r="F50" s="42" t="n"/>
      <c r="G50" s="42" t="n"/>
      <c r="H50" s="6" t="n"/>
      <c r="I50" s="169" t="inlineStr">
        <is>
          <t>Bank details:</t>
        </is>
      </c>
      <c r="O50" s="6" t="n"/>
      <c r="P50" s="6" t="n"/>
      <c r="Q50" s="6" t="n"/>
      <c r="R50" s="185" t="n"/>
      <c r="T50" s="6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7.25" customHeight="1" s="11">
      <c r="C51" s="165" t="inlineStr">
        <is>
          <t>Beneficiary: Hangzhou Zhongfang Textile Imp./Exp. Co., Ltd</t>
        </is>
      </c>
      <c r="F51" s="42" t="n"/>
      <c r="G51" s="42" t="n"/>
      <c r="H51" s="6" t="n"/>
      <c r="I51" s="165" t="inlineStr">
        <is>
          <t>Beneficiary: Hangzhou Zhongfang Textile Imp./Exp. Co., Ltd</t>
        </is>
      </c>
      <c r="O51" s="6" t="n"/>
      <c r="P51" s="6" t="n"/>
      <c r="Q51" s="6" t="n"/>
      <c r="R51" s="185" t="n"/>
      <c r="T51" s="6" t="n"/>
      <c r="U51" s="7" t="n"/>
      <c r="V51" s="7" t="n"/>
      <c r="W51" s="7" t="n"/>
      <c r="X51" s="99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8" customHeight="1" s="11">
      <c r="C52" s="165" t="inlineStr">
        <is>
          <t xml:space="preserve"> Address：NO.756-2, Renmin Avenue, Nanyuan Street, Yuhang District, Hangzhou, Zhejiang Province, China</t>
        </is>
      </c>
      <c r="F52" s="42" t="n"/>
      <c r="G52" s="42" t="n"/>
      <c r="H52" s="6" t="n"/>
      <c r="I52" s="165" t="inlineStr">
        <is>
          <t xml:space="preserve"> Address：NO.756-2, Renmin Avenue, Nanyuan Street, Yuhang District, Hangzhou, Zhejiang Province, China</t>
        </is>
      </c>
      <c r="O52" s="7" t="n"/>
      <c r="P52" s="7" t="n"/>
      <c r="Q52" s="7" t="n"/>
      <c r="R52" s="181" t="n"/>
      <c r="T52" s="7" t="n"/>
      <c r="U52" s="7" t="n"/>
      <c r="V52" s="7" t="n"/>
      <c r="W52" s="7" t="n"/>
      <c r="X52" s="99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2.75" customHeight="1" s="11">
      <c r="C53" s="165" t="inlineStr">
        <is>
          <t xml:space="preserve">Tel:+86-571-86255882 Fax:+86-571-86255883 </t>
        </is>
      </c>
      <c r="F53" s="42" t="n"/>
      <c r="G53" s="42" t="n"/>
      <c r="H53" s="6" t="n"/>
      <c r="I53" s="165" t="inlineStr">
        <is>
          <t xml:space="preserve">Tel:+86-571-86255882 Fax:+86-571-86255883 </t>
        </is>
      </c>
      <c r="O53" s="7" t="n"/>
      <c r="P53" s="7" t="n"/>
      <c r="Q53" s="7" t="n"/>
      <c r="R53" s="181" t="n"/>
      <c r="T53" s="7" t="n"/>
      <c r="U53" s="7" t="n"/>
      <c r="V53" s="7" t="n"/>
      <c r="W53" s="7" t="n"/>
      <c r="X53" s="99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6.05" customHeight="1" s="11">
      <c r="C54" s="165" t="inlineStr">
        <is>
          <t>Account NO.380558366332</t>
        </is>
      </c>
      <c r="F54" s="42" t="n"/>
      <c r="G54" s="42" t="n"/>
      <c r="H54" s="212" t="n"/>
      <c r="I54" s="165" t="inlineStr">
        <is>
          <t>Account NO.380558366332</t>
        </is>
      </c>
      <c r="O54" s="7" t="n"/>
      <c r="P54" s="7" t="n"/>
      <c r="Q54" s="7" t="n"/>
      <c r="R54" s="181" t="n"/>
      <c r="T54" s="7" t="n"/>
      <c r="U54" s="7" t="n"/>
      <c r="V54" s="7" t="n"/>
      <c r="W54" s="7" t="n"/>
      <c r="X54" s="99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6.05" customHeight="1" s="11">
      <c r="C55" s="165" t="inlineStr">
        <is>
          <t xml:space="preserve"> Intermediary Bank: Bank of China, New York Branch (ABA NO: 326) (Swift: BKCHUS33)</t>
        </is>
      </c>
      <c r="F55" s="42" t="n"/>
      <c r="G55" s="42" t="n"/>
      <c r="H55" s="212" t="n"/>
      <c r="I55" s="165" t="inlineStr">
        <is>
          <t xml:space="preserve"> Intermediary Bank: Bank of China, New York Branch (ABA NO: 326) (Swift: BKCHUS33)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181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6.05" customHeight="1" s="11">
      <c r="C56" s="165" t="inlineStr">
        <is>
          <t xml:space="preserve">Account (UID 220613) </t>
        </is>
      </c>
      <c r="F56" s="42" t="n"/>
      <c r="G56" s="42" t="n"/>
      <c r="H56" s="212" t="n"/>
      <c r="I56" s="165" t="inlineStr">
        <is>
          <t xml:space="preserve">Account (UID 220613) </t>
        </is>
      </c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181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17.25" customHeight="1" s="11">
      <c r="C57" s="165" t="inlineStr">
        <is>
          <t>Beneficiary's Bank: (L/C Advising Bank) Bank of China, Zhejiang Branch</t>
        </is>
      </c>
      <c r="F57" s="42" t="n"/>
      <c r="G57" s="42" t="n"/>
      <c r="H57" s="212" t="n"/>
      <c r="I57" s="165" t="inlineStr">
        <is>
          <t>Beneficiary's Bank: (L/C Advising Bank) Bank of China, Zhejiang Branch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181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13.5" customHeight="1" s="11">
      <c r="C58" s="165" t="inlineStr">
        <is>
          <t>321 Fengqi Road, Hangzhou , Zhejiang 310006 P.R. China</t>
        </is>
      </c>
      <c r="F58" s="42" t="n"/>
      <c r="G58" s="42" t="n"/>
      <c r="H58" s="212" t="n"/>
      <c r="I58" s="165" t="inlineStr">
        <is>
          <t>321 Fengqi Road, Hangzhou , Zhejiang 310006 P.R. China</t>
        </is>
      </c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181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5.75" customHeight="1" s="11">
      <c r="C59" s="165" t="inlineStr">
        <is>
          <t>(Attn: Yuhang Sub-Branch) Swift: BKCHCNBJ910</t>
        </is>
      </c>
      <c r="F59" s="42" t="n"/>
      <c r="G59" s="42" t="n"/>
      <c r="H59" s="212" t="n"/>
      <c r="I59" s="165" t="inlineStr">
        <is>
          <t>(Attn: Yuhang Sub-Branch) Swift: BKCHCNBJ910</t>
        </is>
      </c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181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46" t="n"/>
      <c r="D60" s="46" t="n"/>
      <c r="E60" s="54" t="n"/>
      <c r="F60" s="38" t="n"/>
      <c r="G60" s="38" t="n"/>
      <c r="H60" s="212" t="n"/>
      <c r="I60" s="165" t="n"/>
      <c r="J60" s="213" t="n"/>
      <c r="K60" s="58" t="n"/>
      <c r="L60" s="214" t="n"/>
      <c r="M60" s="58" t="n"/>
      <c r="N60" s="213" t="n"/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181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1" customHeight="1" s="11">
      <c r="C61" s="165" t="inlineStr">
        <is>
          <t>Высший руководитель_________________Liu Zhihui</t>
        </is>
      </c>
      <c r="F61" s="42" t="n"/>
      <c r="G61" s="42" t="n"/>
      <c r="H61" s="212" t="n"/>
      <c r="I61" s="165" t="inlineStr">
        <is>
          <t>Top manager______________________Liu Zhihui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181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23.25" customHeight="1" s="11">
      <c r="C62" s="46" t="n"/>
      <c r="D62" s="46" t="n"/>
      <c r="E62" s="54" t="n"/>
      <c r="F62" s="38" t="n"/>
      <c r="G62" s="38" t="n"/>
      <c r="H62" s="212" t="n"/>
      <c r="I62" s="46" t="n"/>
      <c r="J62" s="213" t="n"/>
      <c r="K62" s="58" t="n"/>
      <c r="L62" s="214" t="n"/>
      <c r="M62" s="58" t="n"/>
      <c r="N62" s="213" t="n"/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181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47" t="inlineStr">
        <is>
          <t>Покупатель:</t>
        </is>
      </c>
      <c r="F63" s="38" t="n"/>
      <c r="G63" s="38" t="n"/>
      <c r="H63" s="212" t="n"/>
      <c r="I63" s="163" t="inlineStr">
        <is>
          <t>Buyer:</t>
        </is>
      </c>
      <c r="J63" s="213" t="n"/>
      <c r="K63" s="58" t="n"/>
      <c r="L63" s="214" t="n"/>
      <c r="M63" s="58" t="n"/>
      <c r="N63" s="213" t="n"/>
      <c r="O63" s="7" t="n"/>
      <c r="P63" s="7" t="n"/>
      <c r="Q63" s="7" t="n"/>
      <c r="R63" s="105" t="n"/>
      <c r="T63" s="7" t="n"/>
      <c r="U63" s="7" t="n"/>
      <c r="V63" s="7" t="n"/>
      <c r="W63" s="7" t="n"/>
      <c r="X63" s="7" t="n"/>
      <c r="Y63" s="7" t="n"/>
      <c r="Z63" s="181" t="n"/>
      <c r="AA63" s="7" t="n"/>
      <c r="AB63" s="7" t="n"/>
      <c r="AC63" s="7" t="n"/>
      <c r="AD63" s="7" t="n"/>
      <c r="AE63" s="7" t="n"/>
      <c r="AF63" s="99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69" t="inlineStr">
        <is>
          <t>OOO “СМ Регионтекстиль”</t>
        </is>
      </c>
      <c r="F64" s="38" t="n"/>
      <c r="G64" s="38" t="n"/>
      <c r="H64" s="212" t="n"/>
      <c r="I64" s="165" t="inlineStr">
        <is>
          <t>“SM REGIONTEKSTIL'” LLC</t>
        </is>
      </c>
      <c r="O64" s="7" t="n"/>
      <c r="P64" s="7" t="n"/>
      <c r="Q64" s="7" t="n"/>
      <c r="R64" s="105" t="n"/>
      <c r="T64" s="7" t="n"/>
      <c r="U64" s="7" t="n"/>
      <c r="V64" s="7" t="n"/>
      <c r="W64" s="7" t="n"/>
      <c r="X64" s="7" t="n"/>
      <c r="Y64" s="7" t="n"/>
      <c r="Z64" s="181" t="n"/>
      <c r="AA64" s="7" t="n"/>
      <c r="AB64" s="7" t="n"/>
      <c r="AC64" s="7" t="n"/>
      <c r="AD64" s="7" t="n"/>
      <c r="AE64" s="7" t="n"/>
      <c r="AF64" s="99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29.25" customHeight="1" s="11">
      <c r="C65" s="165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5" s="42" t="n"/>
      <c r="G65" s="42" t="n"/>
      <c r="H65" s="212" t="n"/>
      <c r="I65" s="165" t="inlineStr">
        <is>
          <t>Address of location and post address: 143421 Moscow region, city of Krasnogorsk, 21st kilometer of Baltiya highway, comp. 2, bld. 1, prem. 1</t>
        </is>
      </c>
      <c r="O65" s="7" t="n"/>
      <c r="P65" s="7" t="n"/>
      <c r="Q65" s="7" t="n"/>
      <c r="R65" s="105" t="n"/>
      <c r="T65" s="7" t="n"/>
      <c r="U65" s="7" t="n"/>
      <c r="V65" s="7" t="n"/>
      <c r="W65" s="7" t="n"/>
      <c r="X65" s="7" t="n"/>
      <c r="Y65" s="7" t="n"/>
      <c r="Z65" s="181" t="n"/>
      <c r="AA65" s="7" t="n"/>
      <c r="AB65" s="7" t="n"/>
      <c r="AC65" s="7" t="n"/>
      <c r="AD65" s="7" t="n"/>
      <c r="AE65" s="7" t="n"/>
      <c r="AF65" s="99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71" t="inlineStr">
        <is>
          <t>ОГРН 1175024014472</t>
        </is>
      </c>
      <c r="F66" s="38" t="n"/>
      <c r="G66" s="38" t="n"/>
      <c r="H66" s="212" t="n"/>
      <c r="I66" s="165" t="inlineStr">
        <is>
          <t>OGRN 1175024014472</t>
        </is>
      </c>
      <c r="O66" s="7" t="n"/>
      <c r="P66" s="7" t="n"/>
      <c r="Q66" s="7" t="n"/>
      <c r="R66" s="105" t="n"/>
      <c r="T66" s="7" t="n"/>
      <c r="U66" s="7" t="n"/>
      <c r="V66" s="7" t="n"/>
      <c r="W66" s="7" t="n"/>
      <c r="X66" s="7" t="n"/>
      <c r="Y66" s="7" t="n"/>
      <c r="Z66" s="181" t="n"/>
      <c r="AA66" s="7" t="n"/>
      <c r="AB66" s="7" t="n"/>
      <c r="AC66" s="7" t="n"/>
      <c r="AD66" s="7" t="n"/>
      <c r="AE66" s="7" t="n"/>
      <c r="AF66" s="99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71" t="inlineStr">
        <is>
          <t>ИНН 5032281280</t>
        </is>
      </c>
      <c r="F67" s="38" t="n"/>
      <c r="G67" s="38" t="n"/>
      <c r="H67" s="212" t="n"/>
      <c r="I67" s="165" t="inlineStr">
        <is>
          <t>TIN 5032281280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71" t="inlineStr">
        <is>
          <t>КПП     502401001</t>
        </is>
      </c>
      <c r="F68" s="38" t="n"/>
      <c r="G68" s="38" t="n"/>
      <c r="H68" s="212" t="n"/>
      <c r="I68" s="165" t="inlineStr">
        <is>
          <t>KPP 502401001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3.5" customHeight="1" s="11">
      <c r="C69" s="170" t="inlineStr">
        <is>
          <t>Банковские реквизиты:</t>
        </is>
      </c>
      <c r="F69" s="38" t="n"/>
      <c r="G69" s="38" t="n"/>
      <c r="H69" s="212" t="n"/>
      <c r="I69" s="169" t="inlineStr">
        <is>
          <t>Bank details: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65" t="inlineStr">
        <is>
          <t>Название банка: АО «АЛЬФА-БАНК», г. Москва</t>
        </is>
      </c>
      <c r="F70" s="42" t="n"/>
      <c r="G70" s="42" t="n"/>
      <c r="H70" s="212" t="n"/>
      <c r="I70" s="165" t="inlineStr">
        <is>
          <t>Bank name: JSC “ALFA-BANK“, Moscow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7.25" customHeight="1" s="11">
      <c r="C71" s="171" t="inlineStr">
        <is>
          <t>БИК 044525593</t>
        </is>
      </c>
      <c r="F71" s="38" t="n"/>
      <c r="G71" s="38" t="n"/>
      <c r="H71" s="212" t="n"/>
      <c r="I71" s="165" t="inlineStr">
        <is>
          <t>BIC 044525593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7.25" customHeight="1" s="11">
      <c r="C72" s="165" t="inlineStr">
        <is>
          <t>к/с 30101810200000000593</t>
        </is>
      </c>
      <c r="F72" s="38" t="n"/>
      <c r="G72" s="38" t="n"/>
      <c r="H72" s="212" t="n"/>
      <c r="I72" s="165" t="inlineStr">
        <is>
          <t xml:space="preserve">Corr. Acc. 30101810200000000593 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5.75" customHeight="1" s="11">
      <c r="C73" s="165" t="inlineStr">
        <is>
          <t>р/с 40702810502200008253</t>
        </is>
      </c>
      <c r="F73" s="38" t="n"/>
      <c r="G73" s="38" t="n"/>
      <c r="H73" s="212" t="n"/>
      <c r="I73" s="165" t="inlineStr">
        <is>
          <t>Current account  40702810502200008253</t>
        </is>
      </c>
      <c r="AD73" s="7" t="n"/>
      <c r="AE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6" t="n"/>
      <c r="EF73" s="6" t="n"/>
      <c r="EG73" s="6" t="n"/>
      <c r="EH73" s="6" t="n"/>
      <c r="EI73" s="6" t="n"/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T73" s="6" t="n"/>
      <c r="EU73" s="6" t="n"/>
      <c r="EV73" s="6" t="n"/>
      <c r="EW73" s="6" t="n"/>
      <c r="EX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I73" s="6" t="n"/>
      <c r="FJ73" s="6" t="n"/>
      <c r="FK73" s="6" t="n"/>
      <c r="FL73" s="6" t="n"/>
      <c r="FM73" s="6" t="n"/>
      <c r="FN73" s="6" t="n"/>
      <c r="FO73" s="6" t="n"/>
      <c r="FP73" s="6" t="n"/>
      <c r="FQ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B73" s="6" t="n"/>
      <c r="GC73" s="6" t="n"/>
      <c r="GD73" s="6" t="n"/>
      <c r="GE73" s="6" t="n"/>
      <c r="GF73" s="6" t="n"/>
      <c r="GG73" s="6" t="n"/>
      <c r="GH73" s="6" t="n"/>
      <c r="GI73" s="6" t="n"/>
      <c r="GJ73" s="6" t="n"/>
      <c r="GK73" s="6" t="n"/>
      <c r="GL73" s="6" t="n"/>
      <c r="GM73" s="6" t="n"/>
      <c r="GN73" s="6" t="n"/>
    </row>
    <row r="74" ht="17.25" customHeight="1" s="11">
      <c r="C74" s="165" t="inlineStr">
        <is>
          <t>Beneficiary's name: OOO 'SM REGIONTEKSTIL'</t>
        </is>
      </c>
      <c r="F74" s="42" t="n"/>
      <c r="G74" s="42" t="n"/>
      <c r="H74" s="212" t="n"/>
      <c r="I74" s="165" t="inlineStr">
        <is>
          <t>Beneficiary's name: OOO 'SM REGIONTEKSTIL'</t>
        </is>
      </c>
      <c r="AD74" s="7" t="n"/>
      <c r="AE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6" t="n"/>
      <c r="EF74" s="6" t="n"/>
      <c r="EG74" s="6" t="n"/>
      <c r="EH74" s="6" t="n"/>
      <c r="EI74" s="6" t="n"/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T74" s="6" t="n"/>
      <c r="EU74" s="6" t="n"/>
      <c r="EV74" s="6" t="n"/>
      <c r="EW74" s="6" t="n"/>
      <c r="EX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I74" s="6" t="n"/>
      <c r="FJ74" s="6" t="n"/>
      <c r="FK74" s="6" t="n"/>
      <c r="FL74" s="6" t="n"/>
      <c r="FM74" s="6" t="n"/>
      <c r="FN74" s="6" t="n"/>
      <c r="FO74" s="6" t="n"/>
      <c r="FP74" s="6" t="n"/>
      <c r="FQ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B74" s="6" t="n"/>
      <c r="GC74" s="6" t="n"/>
      <c r="GD74" s="6" t="n"/>
      <c r="GE74" s="6" t="n"/>
      <c r="GF74" s="6" t="n"/>
      <c r="GG74" s="6" t="n"/>
      <c r="GH74" s="6" t="n"/>
      <c r="GI74" s="6" t="n"/>
      <c r="GJ74" s="6" t="n"/>
      <c r="GK74" s="6" t="n"/>
      <c r="GL74" s="6" t="n"/>
      <c r="GM74" s="6" t="n"/>
      <c r="GN74" s="6" t="n"/>
    </row>
    <row r="75" ht="18.75" customHeight="1" s="11">
      <c r="C75" s="165" t="inlineStr">
        <is>
          <t>Beneficiary's address: PETROVSKII PROEZD, D. VL2, C. S2 ET4 MOSKOVSKAYA, RUSSIA</t>
        </is>
      </c>
      <c r="F75" s="42" t="n"/>
      <c r="G75" s="42" t="n"/>
      <c r="H75" s="212" t="n"/>
      <c r="I75" s="165" t="inlineStr">
        <is>
          <t>Beneficiary's address: PETROVSKII PROEZD, D. VL2, C. S2 ET4 MOSKOVSKAYA, RUSSIA</t>
        </is>
      </c>
      <c r="AD75" s="7" t="n"/>
      <c r="AE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6" t="n"/>
      <c r="EF75" s="6" t="n"/>
      <c r="EG75" s="6" t="n"/>
      <c r="EH75" s="6" t="n"/>
      <c r="EI75" s="6" t="n"/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T75" s="6" t="n"/>
      <c r="EU75" s="6" t="n"/>
      <c r="EV75" s="6" t="n"/>
      <c r="EW75" s="6" t="n"/>
      <c r="EX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I75" s="6" t="n"/>
      <c r="FJ75" s="6" t="n"/>
      <c r="FK75" s="6" t="n"/>
      <c r="FL75" s="6" t="n"/>
      <c r="FM75" s="6" t="n"/>
      <c r="FN75" s="6" t="n"/>
      <c r="FO75" s="6" t="n"/>
      <c r="FP75" s="6" t="n"/>
      <c r="FQ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B75" s="6" t="n"/>
      <c r="GC75" s="6" t="n"/>
      <c r="GD75" s="6" t="n"/>
      <c r="GE75" s="6" t="n"/>
      <c r="GF75" s="6" t="n"/>
      <c r="GG75" s="6" t="n"/>
      <c r="GH75" s="6" t="n"/>
      <c r="GI75" s="6" t="n"/>
      <c r="GJ75" s="6" t="n"/>
      <c r="GK75" s="6" t="n"/>
      <c r="GL75" s="6" t="n"/>
      <c r="GM75" s="6" t="n"/>
      <c r="GN75" s="6" t="n"/>
    </row>
    <row r="76" ht="15" customHeight="1" s="11">
      <c r="C76" s="165" t="inlineStr">
        <is>
          <t>Beneficiary acc. No: 40702840202200002189</t>
        </is>
      </c>
      <c r="F76" s="42" t="n"/>
      <c r="G76" s="42" t="n"/>
      <c r="H76" s="212" t="n"/>
      <c r="I76" s="165" t="inlineStr">
        <is>
          <t>Beneficiary acc. No: 40702840202200002189</t>
        </is>
      </c>
      <c r="AD76" s="7" t="n"/>
      <c r="AE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6" t="n"/>
      <c r="EF76" s="6" t="n"/>
      <c r="EG76" s="6" t="n"/>
      <c r="EH76" s="6" t="n"/>
      <c r="EI76" s="6" t="n"/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T76" s="6" t="n"/>
      <c r="EU76" s="6" t="n"/>
      <c r="EV76" s="6" t="n"/>
      <c r="EW76" s="6" t="n"/>
      <c r="EX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I76" s="6" t="n"/>
      <c r="FJ76" s="6" t="n"/>
      <c r="FK76" s="6" t="n"/>
      <c r="FL76" s="6" t="n"/>
      <c r="FM76" s="6" t="n"/>
      <c r="FN76" s="6" t="n"/>
      <c r="FO76" s="6" t="n"/>
      <c r="FP76" s="6" t="n"/>
      <c r="FQ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B76" s="6" t="n"/>
      <c r="GC76" s="6" t="n"/>
      <c r="GD76" s="6" t="n"/>
      <c r="GE76" s="6" t="n"/>
      <c r="GF76" s="6" t="n"/>
      <c r="GG76" s="6" t="n"/>
      <c r="GH76" s="6" t="n"/>
      <c r="GI76" s="6" t="n"/>
      <c r="GJ76" s="6" t="n"/>
      <c r="GK76" s="6" t="n"/>
      <c r="GL76" s="6" t="n"/>
      <c r="GM76" s="6" t="n"/>
      <c r="GN76" s="6" t="n"/>
    </row>
    <row r="77" ht="17.25" customHeight="1" s="11">
      <c r="C77" s="171" t="inlineStr">
        <is>
          <t>SWIFT: ALFARUMM</t>
        </is>
      </c>
      <c r="F77" s="38" t="n"/>
      <c r="G77" s="38" t="n"/>
      <c r="H77" s="212" t="n"/>
      <c r="I77" s="165" t="inlineStr">
        <is>
          <t>SWIFT: ALFARUMM</t>
        </is>
      </c>
      <c r="AD77" s="7" t="n"/>
      <c r="AE77" s="7" t="n"/>
      <c r="AG77" s="7" t="n"/>
      <c r="GO77" s="5" t="n"/>
      <c r="GP77" s="5" t="n"/>
      <c r="GQ77" s="5" t="n"/>
    </row>
    <row r="78" ht="17.25" customHeight="1" s="11">
      <c r="C78" s="165" t="inlineStr">
        <is>
          <t>Beneficiary's bank : AO «ALFA-BANK»</t>
        </is>
      </c>
      <c r="F78" s="42" t="n"/>
      <c r="G78" s="42" t="n"/>
      <c r="H78" s="212" t="n"/>
      <c r="I78" s="165" t="inlineStr">
        <is>
          <t>Beneficiary's bank : AO «ALFA-BANK»</t>
        </is>
      </c>
      <c r="AD78" s="7" t="n"/>
      <c r="AE78" s="7" t="n"/>
      <c r="AG78" s="7" t="n"/>
      <c r="GO78" s="5" t="n"/>
      <c r="GP78" s="5" t="n"/>
      <c r="GQ78" s="5" t="n"/>
      <c r="GR78" s="5" t="n"/>
      <c r="GS78" s="5" t="n"/>
      <c r="GT78" s="5" t="n"/>
      <c r="GU78" s="5" t="n"/>
      <c r="GV78" s="5" t="n"/>
      <c r="GW78" s="5" t="n"/>
      <c r="GX78" s="5" t="n"/>
    </row>
    <row r="79" ht="17.25" customHeight="1" s="11">
      <c r="C79" s="165" t="inlineStr">
        <is>
          <t>Beneficiary's bank address: 27 Kalanchevskaya str., Moscow, 107078</t>
        </is>
      </c>
      <c r="F79" s="42" t="n"/>
      <c r="G79" s="42" t="n"/>
      <c r="H79" s="212" t="n"/>
      <c r="I79" s="165" t="inlineStr">
        <is>
          <t>Beneficiary's bank address: 27 Kalanchevskaya str., Moscow, 107078</t>
        </is>
      </c>
      <c r="AD79" s="7" t="n"/>
      <c r="AE79" s="7" t="n"/>
      <c r="AG79" s="7" t="n"/>
      <c r="GO79" s="5" t="n"/>
      <c r="GP79" s="5" t="n"/>
      <c r="GQ79" s="5" t="n"/>
      <c r="GR79" s="5" t="n"/>
      <c r="GS79" s="5" t="n"/>
      <c r="GT79" s="5" t="n"/>
      <c r="GU79" s="5" t="n"/>
    </row>
    <row r="80" ht="17.25" customHeight="1" s="11">
      <c r="C80" s="165" t="n"/>
      <c r="D80" s="165" t="n"/>
      <c r="E80" s="54" t="n"/>
      <c r="F80" s="38" t="n"/>
      <c r="G80" s="38" t="n"/>
      <c r="H80" s="212" t="n"/>
      <c r="I80" s="165" t="n"/>
      <c r="J80" s="213" t="n"/>
      <c r="K80" s="58" t="n"/>
      <c r="L80" s="214" t="n"/>
      <c r="M80" s="58" t="n"/>
      <c r="N80" s="213" t="n"/>
      <c r="AD80" s="7" t="n"/>
      <c r="AE80" s="7" t="n"/>
      <c r="AG80" s="7" t="n"/>
    </row>
    <row r="81" ht="17.25" customHeight="1" s="11">
      <c r="C81" s="165" t="n"/>
      <c r="D81" s="165" t="n"/>
      <c r="E81" s="54" t="n"/>
      <c r="F81" s="38" t="n"/>
      <c r="G81" s="38" t="n"/>
      <c r="H81" s="212" t="n"/>
      <c r="I81" s="165" t="n"/>
      <c r="J81" s="213" t="n"/>
      <c r="K81" s="58" t="n"/>
      <c r="L81" s="214" t="n"/>
      <c r="M81" s="58" t="n"/>
      <c r="N81" s="213" t="n"/>
      <c r="AD81" s="7" t="n"/>
      <c r="AE81" s="7" t="n"/>
      <c r="AG81" s="7" t="n"/>
    </row>
    <row r="82" ht="17.25" customHeight="1" s="11">
      <c r="C82" s="165" t="inlineStr">
        <is>
          <t>Генеральный директор______________ Величко И.В.</t>
        </is>
      </c>
      <c r="F82" s="42" t="n"/>
      <c r="G82" s="42" t="n"/>
      <c r="H82" s="212" t="n"/>
      <c r="I82" s="165" t="inlineStr">
        <is>
          <t>General director ___________________Velichko I.V.</t>
        </is>
      </c>
      <c r="AD82" s="7" t="n"/>
      <c r="AE82" s="7" t="n"/>
      <c r="AG82" s="7" t="n"/>
    </row>
    <row r="83" ht="17.25" customHeight="1" s="11">
      <c r="C83" s="6" t="n"/>
      <c r="D83" s="6" t="n"/>
      <c r="E83" s="46" t="n"/>
      <c r="F83" s="6" t="n"/>
      <c r="G83" s="6" t="n"/>
      <c r="H83" s="6" t="n"/>
      <c r="I83" s="6" t="n"/>
      <c r="J83" s="215" t="n"/>
      <c r="K83" s="59" t="n"/>
      <c r="L83" s="216" t="n"/>
      <c r="M83" s="6" t="n"/>
      <c r="N83" s="215" t="n"/>
    </row>
    <row r="84" ht="17.25" customHeight="1" s="11">
      <c r="C84" s="6" t="n"/>
      <c r="D84" s="6" t="n"/>
      <c r="E84" s="46" t="n"/>
      <c r="F84" s="6" t="n"/>
      <c r="G84" s="6" t="n"/>
      <c r="H84" s="6" t="n"/>
      <c r="I84" s="6" t="n"/>
      <c r="J84" s="215" t="n"/>
      <c r="K84" s="59" t="n"/>
      <c r="L84" s="216" t="n"/>
      <c r="M84" s="6" t="n"/>
      <c r="N84" s="215" t="n"/>
    </row>
    <row r="85" ht="17.25" customHeight="1" s="11">
      <c r="C85" s="5" t="n"/>
      <c r="D85" s="5" t="n"/>
      <c r="M85" s="47" t="n"/>
    </row>
  </sheetData>
  <autoFilter ref="A22:GX53"/>
  <mergeCells count="85">
    <mergeCell ref="I48:L48"/>
    <mergeCell ref="C44:E44"/>
    <mergeCell ref="I75:N75"/>
    <mergeCell ref="C51:E51"/>
    <mergeCell ref="C71:E71"/>
    <mergeCell ref="I67:N67"/>
    <mergeCell ref="M10:N10"/>
    <mergeCell ref="I14:N14"/>
    <mergeCell ref="I78:N78"/>
    <mergeCell ref="C57:E57"/>
    <mergeCell ref="C49:E49"/>
    <mergeCell ref="C77:E77"/>
    <mergeCell ref="C74:E74"/>
    <mergeCell ref="B1:N1"/>
    <mergeCell ref="I76:N76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70:E70"/>
    <mergeCell ref="C48:E48"/>
    <mergeCell ref="B3:N3"/>
    <mergeCell ref="I13:N13"/>
    <mergeCell ref="I46:N46"/>
    <mergeCell ref="C79:E79"/>
    <mergeCell ref="C73:E73"/>
    <mergeCell ref="I70:N70"/>
    <mergeCell ref="I57:N57"/>
    <mergeCell ref="C63:E63"/>
    <mergeCell ref="I54:N54"/>
    <mergeCell ref="I72:N72"/>
    <mergeCell ref="C50:E50"/>
    <mergeCell ref="C55:E55"/>
    <mergeCell ref="I56:N56"/>
    <mergeCell ref="I71:N71"/>
    <mergeCell ref="I43:N43"/>
    <mergeCell ref="I58:N58"/>
    <mergeCell ref="B7:N7"/>
    <mergeCell ref="C67:E67"/>
    <mergeCell ref="I44:N44"/>
    <mergeCell ref="C72:E72"/>
    <mergeCell ref="I19:N19"/>
    <mergeCell ref="I59:N59"/>
    <mergeCell ref="C69:E69"/>
    <mergeCell ref="C78:E78"/>
    <mergeCell ref="I69:N69"/>
    <mergeCell ref="B2:N2"/>
    <mergeCell ref="B16:G16"/>
    <mergeCell ref="I77:N77"/>
    <mergeCell ref="C64:E64"/>
    <mergeCell ref="I61:N61"/>
    <mergeCell ref="I47:N47"/>
    <mergeCell ref="C54:E54"/>
    <mergeCell ref="I15:M15"/>
    <mergeCell ref="B17:G17"/>
    <mergeCell ref="C56:E56"/>
    <mergeCell ref="C43:E43"/>
    <mergeCell ref="C76:E76"/>
    <mergeCell ref="B4:N4"/>
    <mergeCell ref="I64:N64"/>
    <mergeCell ref="I79:N79"/>
    <mergeCell ref="C82:E82"/>
    <mergeCell ref="I73:N73"/>
    <mergeCell ref="I51:N51"/>
    <mergeCell ref="I82:N82"/>
    <mergeCell ref="I16:N17"/>
    <mergeCell ref="C66:E66"/>
    <mergeCell ref="C53:E53"/>
    <mergeCell ref="I50:N50"/>
    <mergeCell ref="I65:N65"/>
    <mergeCell ref="C68:E68"/>
    <mergeCell ref="I74:N74"/>
    <mergeCell ref="C58:E58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8" display="http://www.zhongfanghz.cn/" r:id="rId2"/>
    <hyperlink xmlns:r="http://schemas.openxmlformats.org/officeDocument/2006/relationships" ref="I48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63"/>
  <sheetViews>
    <sheetView zoomScale="70" zoomScaleNormal="70" zoomScaleSheetLayoutView="70" workbookViewId="0">
      <pane ySplit="1" topLeftCell="A2" activePane="bottomLeft" state="frozen"/>
      <selection pane="bottomLeft" activeCell="A23" sqref="A23:XFD29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76" min="8" max="8"/>
    <col hidden="1" width="7.25" customWidth="1" style="176" min="9" max="9"/>
    <col hidden="1" width="10.25" customWidth="1" style="177" min="10" max="10"/>
    <col hidden="1" width="10.25" customWidth="1" style="47" min="11" max="11"/>
    <col hidden="1" width="10.25" customWidth="1" style="178" min="12" max="12"/>
    <col hidden="1" width="8.75" customWidth="1" style="179" min="13" max="13"/>
    <col hidden="1" width="14.0625" customWidth="1" style="177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50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  <c r="EL1" s="6" t="n"/>
      <c r="EM1" s="6" t="n"/>
      <c r="EN1" s="6" t="n"/>
      <c r="EO1" s="6" t="n"/>
      <c r="EP1" s="6" t="n"/>
      <c r="EQ1" s="6" t="n"/>
      <c r="ER1" s="6" t="n"/>
      <c r="ES1" s="6" t="n"/>
      <c r="ET1" s="6" t="n"/>
      <c r="EU1" s="6" t="n"/>
      <c r="EV1" s="6" t="n"/>
      <c r="EW1" s="6" t="n"/>
      <c r="EX1" s="6" t="n"/>
      <c r="EY1" s="6" t="n"/>
      <c r="EZ1" s="6" t="n"/>
      <c r="FA1" s="6" t="n"/>
      <c r="FB1" s="6" t="n"/>
      <c r="FC1" s="6" t="n"/>
      <c r="FD1" s="6" t="n"/>
      <c r="FE1" s="6" t="n"/>
      <c r="FF1" s="6" t="n"/>
      <c r="FG1" s="6" t="n"/>
      <c r="FH1" s="6" t="n"/>
      <c r="FI1" s="6" t="n"/>
      <c r="FJ1" s="6" t="n"/>
      <c r="FK1" s="6" t="n"/>
      <c r="FL1" s="6" t="n"/>
      <c r="FM1" s="6" t="n"/>
      <c r="FN1" s="6" t="n"/>
      <c r="FO1" s="6" t="n"/>
      <c r="FP1" s="6" t="n"/>
      <c r="FQ1" s="6" t="n"/>
      <c r="FR1" s="6" t="n"/>
      <c r="FS1" s="6" t="n"/>
      <c r="FT1" s="6" t="n"/>
      <c r="FU1" s="6" t="n"/>
      <c r="FV1" s="6" t="n"/>
      <c r="FW1" s="6" t="n"/>
      <c r="FX1" s="6" t="n"/>
      <c r="FY1" s="6" t="n"/>
      <c r="FZ1" s="6" t="n"/>
      <c r="GA1" s="6" t="n"/>
      <c r="GB1" s="6" t="n"/>
      <c r="GC1" s="6" t="n"/>
      <c r="GD1" s="6" t="n"/>
      <c r="GE1" s="6" t="n"/>
      <c r="GF1" s="6" t="n"/>
      <c r="GG1" s="6" t="n"/>
      <c r="GH1" s="6" t="n"/>
      <c r="GI1" s="6" t="n"/>
      <c r="GJ1" s="6" t="n"/>
      <c r="GK1" s="6" t="n"/>
      <c r="GL1" s="6" t="n"/>
      <c r="GM1" s="6" t="n"/>
      <c r="GN1" s="6" t="n"/>
      <c r="GO1" s="6" t="n"/>
      <c r="GP1" s="6" t="n"/>
      <c r="GQ1" s="6" t="n"/>
      <c r="GR1" s="6" t="n"/>
      <c r="GS1" s="6" t="n"/>
      <c r="GT1" s="6" t="n"/>
      <c r="GU1" s="6" t="n"/>
    </row>
    <row r="2" ht="26.25" customHeight="1" s="11">
      <c r="B2" s="152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6" t="n"/>
      <c r="EM2" s="6" t="n"/>
      <c r="EN2" s="6" t="n"/>
      <c r="EO2" s="6" t="n"/>
      <c r="EP2" s="6" t="n"/>
      <c r="EQ2" s="6" t="n"/>
      <c r="ER2" s="6" t="n"/>
      <c r="ES2" s="6" t="n"/>
      <c r="ET2" s="6" t="n"/>
      <c r="EU2" s="6" t="n"/>
      <c r="EV2" s="6" t="n"/>
      <c r="EW2" s="6" t="n"/>
      <c r="EX2" s="6" t="n"/>
      <c r="EY2" s="6" t="n"/>
      <c r="EZ2" s="6" t="n"/>
      <c r="FA2" s="6" t="n"/>
      <c r="FB2" s="6" t="n"/>
      <c r="FC2" s="6" t="n"/>
      <c r="FD2" s="6" t="n"/>
      <c r="FE2" s="6" t="n"/>
      <c r="FF2" s="6" t="n"/>
      <c r="FG2" s="6" t="n"/>
      <c r="FH2" s="6" t="n"/>
      <c r="FI2" s="6" t="n"/>
      <c r="FJ2" s="6" t="n"/>
      <c r="FK2" s="6" t="n"/>
      <c r="FL2" s="6" t="n"/>
      <c r="FM2" s="6" t="n"/>
      <c r="FN2" s="6" t="n"/>
      <c r="FO2" s="6" t="n"/>
      <c r="FP2" s="6" t="n"/>
      <c r="FQ2" s="6" t="n"/>
      <c r="FR2" s="6" t="n"/>
      <c r="FS2" s="6" t="n"/>
      <c r="FT2" s="6" t="n"/>
      <c r="FU2" s="6" t="n"/>
      <c r="FV2" s="6" t="n"/>
      <c r="FW2" s="6" t="n"/>
      <c r="FX2" s="6" t="n"/>
      <c r="FY2" s="6" t="n"/>
      <c r="FZ2" s="6" t="n"/>
      <c r="GA2" s="6" t="n"/>
      <c r="GB2" s="6" t="n"/>
      <c r="GC2" s="6" t="n"/>
      <c r="GD2" s="6" t="n"/>
      <c r="GE2" s="6" t="n"/>
      <c r="GF2" s="6" t="n"/>
      <c r="GG2" s="6" t="n"/>
      <c r="GH2" s="6" t="n"/>
      <c r="GI2" s="6" t="n"/>
      <c r="GJ2" s="6" t="n"/>
      <c r="GK2" s="6" t="n"/>
      <c r="GL2" s="6" t="n"/>
      <c r="GM2" s="6" t="n"/>
      <c r="GN2" s="6" t="n"/>
      <c r="GO2" s="6" t="n"/>
      <c r="GP2" s="6" t="n"/>
      <c r="GQ2" s="6" t="n"/>
      <c r="GR2" s="6" t="n"/>
      <c r="GS2" s="6" t="n"/>
      <c r="GT2" s="6" t="n"/>
      <c r="GU2" s="6" t="n"/>
    </row>
    <row r="3" ht="60.75" customHeight="1" s="11">
      <c r="B3" s="154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54" t="inlineStr">
        <is>
          <t xml:space="preserve">www.zhongfanghz.cn </t>
        </is>
      </c>
    </row>
    <row r="5" ht="27" customHeight="1" s="11">
      <c r="B5" s="174">
        <f>"DESCRIPTION FOR SPECIFICATION №"&amp;'инвойс 1'!L9&amp;" dd "&amp;'инвойс 1'!L11</f>
        <v/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6" t="n"/>
      <c r="DY5" s="6" t="n"/>
      <c r="DZ5" s="6" t="n"/>
      <c r="EA5" s="6" t="n"/>
      <c r="EB5" s="6" t="n"/>
      <c r="EC5" s="6" t="n"/>
      <c r="ED5" s="6" t="n"/>
      <c r="EE5" s="6" t="n"/>
      <c r="EF5" s="6" t="n"/>
      <c r="EG5" s="6" t="n"/>
      <c r="EH5" s="6" t="n"/>
      <c r="EI5" s="6" t="n"/>
      <c r="EJ5" s="6" t="n"/>
      <c r="EK5" s="6" t="n"/>
      <c r="EL5" s="6" t="n"/>
      <c r="EM5" s="6" t="n"/>
      <c r="EN5" s="6" t="n"/>
      <c r="EO5" s="6" t="n"/>
      <c r="EP5" s="6" t="n"/>
      <c r="EQ5" s="6" t="n"/>
      <c r="ER5" s="6" t="n"/>
      <c r="ES5" s="6" t="n"/>
      <c r="ET5" s="6" t="n"/>
      <c r="EU5" s="6" t="n"/>
      <c r="EV5" s="6" t="n"/>
      <c r="EW5" s="6" t="n"/>
      <c r="EX5" s="6" t="n"/>
      <c r="EY5" s="6" t="n"/>
      <c r="EZ5" s="6" t="n"/>
      <c r="FA5" s="6" t="n"/>
      <c r="FB5" s="6" t="n"/>
      <c r="FC5" s="6" t="n"/>
      <c r="FD5" s="6" t="n"/>
      <c r="FE5" s="6" t="n"/>
      <c r="FF5" s="6" t="n"/>
      <c r="FG5" s="6" t="n"/>
      <c r="FH5" s="6" t="n"/>
      <c r="FI5" s="6" t="n"/>
      <c r="FJ5" s="6" t="n"/>
      <c r="FK5" s="6" t="n"/>
      <c r="FL5" s="6" t="n"/>
      <c r="FM5" s="6" t="n"/>
      <c r="FN5" s="6" t="n"/>
      <c r="FO5" s="6" t="n"/>
      <c r="FP5" s="6" t="n"/>
      <c r="FQ5" s="6" t="n"/>
      <c r="FR5" s="6" t="n"/>
      <c r="FS5" s="6" t="n"/>
      <c r="FT5" s="6" t="n"/>
      <c r="FU5" s="6" t="n"/>
      <c r="FV5" s="6" t="n"/>
      <c r="FW5" s="6" t="n"/>
      <c r="FX5" s="6" t="n"/>
      <c r="FY5" s="6" t="n"/>
      <c r="FZ5" s="6" t="n"/>
      <c r="GA5" s="6" t="n"/>
      <c r="GB5" s="6" t="n"/>
      <c r="GC5" s="6" t="n"/>
      <c r="GD5" s="6" t="n"/>
      <c r="GE5" s="6" t="n"/>
      <c r="GF5" s="6" t="n"/>
      <c r="GG5" s="6" t="n"/>
      <c r="GH5" s="6" t="n"/>
      <c r="GI5" s="6" t="n"/>
      <c r="GJ5" s="6" t="n"/>
      <c r="GK5" s="6" t="n"/>
      <c r="GL5" s="6" t="n"/>
      <c r="GM5" s="6" t="n"/>
      <c r="GN5" s="6" t="n"/>
      <c r="GO5" s="6" t="n"/>
      <c r="GP5" s="6" t="n"/>
      <c r="GQ5" s="6" t="n"/>
      <c r="GR5" s="6" t="n"/>
      <c r="GS5" s="6" t="n"/>
      <c r="GT5" s="6" t="n"/>
      <c r="GU5" s="6" t="n"/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188" t="n"/>
      <c r="K6" s="16" t="n"/>
      <c r="L6" s="192" t="n"/>
      <c r="M6" s="148" t="n"/>
    </row>
    <row r="7" ht="18" customHeight="1" s="11">
      <c r="B7" s="158" t="inlineStr">
        <is>
          <t>Manufactor and Seller / Производитель и Продавец:</t>
        </is>
      </c>
      <c r="G7" s="19" t="n"/>
      <c r="H7" s="20" t="n"/>
      <c r="I7" s="158" t="n"/>
    </row>
    <row r="8" ht="19.5" customHeight="1" s="11">
      <c r="B8" s="160" t="inlineStr">
        <is>
          <t>HANGZHOU ZHONGFANG TEXTILE IMP./EXP. CO., LTD.</t>
        </is>
      </c>
      <c r="G8" s="19" t="n"/>
      <c r="H8" s="20" t="n"/>
      <c r="I8" s="160" t="n"/>
    </row>
    <row r="9" ht="16.5" customHeight="1" s="11">
      <c r="B9" s="158" t="inlineStr">
        <is>
          <t>Address/Адрес:</t>
        </is>
      </c>
      <c r="F9" s="189" t="n"/>
      <c r="G9" s="19" t="n"/>
      <c r="H9" s="20" t="n"/>
      <c r="I9" s="158" t="n"/>
      <c r="N9" s="189" t="n"/>
    </row>
    <row r="10" ht="34.5" customHeight="1" s="11">
      <c r="B10" s="160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60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193" t="n"/>
      <c r="J11" s="194" t="n"/>
      <c r="K11" s="33" t="n"/>
      <c r="L11" s="196" t="n"/>
      <c r="M11" s="32" t="n"/>
      <c r="N11" s="194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6" t="n"/>
      <c r="EM11" s="6" t="n"/>
      <c r="EN11" s="6" t="n"/>
      <c r="EO11" s="6" t="n"/>
      <c r="EP11" s="6" t="n"/>
      <c r="EQ11" s="6" t="n"/>
      <c r="ER11" s="6" t="n"/>
      <c r="ES11" s="6" t="n"/>
      <c r="ET11" s="6" t="n"/>
      <c r="EU11" s="6" t="n"/>
      <c r="EV11" s="6" t="n"/>
      <c r="EW11" s="6" t="n"/>
      <c r="EX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I11" s="6" t="n"/>
      <c r="FJ11" s="6" t="n"/>
      <c r="FK11" s="6" t="n"/>
      <c r="FL11" s="6" t="n"/>
      <c r="FM11" s="6" t="n"/>
      <c r="FN11" s="6" t="n"/>
      <c r="FO11" s="6" t="n"/>
      <c r="FP11" s="6" t="n"/>
      <c r="FQ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B11" s="6" t="n"/>
      <c r="GC11" s="6" t="n"/>
      <c r="GD11" s="6" t="n"/>
      <c r="GE11" s="6" t="n"/>
      <c r="GF11" s="6" t="n"/>
      <c r="GG11" s="6" t="n"/>
      <c r="GH11" s="6" t="n"/>
      <c r="GI11" s="6" t="n"/>
      <c r="GJ11" s="6" t="n"/>
      <c r="GK11" s="6" t="n"/>
      <c r="GL11" s="6" t="n"/>
      <c r="GM11" s="6" t="n"/>
      <c r="GN11" s="6" t="n"/>
      <c r="GO11" s="6" t="n"/>
      <c r="GP11" s="6" t="n"/>
      <c r="GQ11" s="6" t="n"/>
      <c r="GR11" s="6" t="n"/>
      <c r="GS11" s="6" t="n"/>
      <c r="GT11" s="6" t="n"/>
      <c r="GU11" s="6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197" t="inlineStr">
        <is>
          <t>Q-ty meters / Кол-во погонных метров</t>
        </is>
      </c>
      <c r="I12" s="197" t="inlineStr">
        <is>
          <t>Widht, m / Ширина, м</t>
        </is>
      </c>
      <c r="J12" s="198" t="inlineStr">
        <is>
          <t>Q-ty m2 / Кол-во кв.м</t>
        </is>
      </c>
      <c r="K12" s="83" t="inlineStr">
        <is>
          <t>N.W, kg / Вес Нетто, кг</t>
        </is>
      </c>
      <c r="L12" s="199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198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23</v>
      </c>
      <c r="D13" s="104" t="inlineStr">
        <is>
          <t>NAPPA 000</t>
        </is>
      </c>
      <c r="E13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3" s="104" t="inlineStr">
        <is>
          <t>5903102000</t>
        </is>
      </c>
      <c r="G13" s="104" t="inlineStr">
        <is>
          <t>3921120000</t>
        </is>
      </c>
      <c r="H13" s="94" t="n">
        <v>1040</v>
      </c>
      <c r="I13" s="94" t="n">
        <v>1.43</v>
      </c>
      <c r="J13" s="202" t="n">
        <v>1487.2</v>
      </c>
      <c r="K13" s="94" t="n">
        <v>702</v>
      </c>
      <c r="L13" s="94" t="n">
        <v>737.87</v>
      </c>
      <c r="M13" s="203" t="n">
        <v>16.1</v>
      </c>
      <c r="N13" s="203" t="n">
        <v>16744</v>
      </c>
      <c r="P13" s="217" t="n"/>
      <c r="Q13" s="217">
        <f>M13*H13</f>
        <v/>
      </c>
      <c r="R13" s="217">
        <f>ROUND(Q13,2)</f>
        <v/>
      </c>
    </row>
    <row r="14" ht="78" customFormat="1" customHeight="1" s="87">
      <c r="B14" s="104" t="n">
        <v>2</v>
      </c>
      <c r="C14" s="104" t="n">
        <v>29</v>
      </c>
      <c r="D14" s="104" t="inlineStr">
        <is>
          <t>NAPPA 110</t>
        </is>
      </c>
      <c r="E14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4" s="104" t="inlineStr">
        <is>
          <t>5903102000</t>
        </is>
      </c>
      <c r="G14" s="104" t="inlineStr">
        <is>
          <t>3921120000</t>
        </is>
      </c>
      <c r="H14" s="94" t="n">
        <v>1122.8</v>
      </c>
      <c r="I14" s="94" t="n">
        <v>1.43</v>
      </c>
      <c r="J14" s="202" t="n">
        <v>1605.604</v>
      </c>
      <c r="K14" s="94" t="n">
        <v>757.89</v>
      </c>
      <c r="L14" s="94" t="n">
        <v>803.12</v>
      </c>
      <c r="M14" s="203" t="n">
        <v>16.1</v>
      </c>
      <c r="N14" s="203" t="n">
        <v>18077.08</v>
      </c>
      <c r="P14" s="217" t="n"/>
      <c r="Q14" s="217">
        <f>M14*H14</f>
        <v/>
      </c>
      <c r="R14" s="217">
        <f>ROUND(Q14,2)</f>
        <v/>
      </c>
    </row>
    <row r="15" ht="78" customFormat="1" customHeight="1" s="87">
      <c r="B15" s="104" t="n">
        <v>3</v>
      </c>
      <c r="C15" s="104" t="n">
        <v>34</v>
      </c>
      <c r="D15" s="104" t="inlineStr">
        <is>
          <t>NAPPA 130</t>
        </is>
      </c>
      <c r="E15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5" s="104" t="inlineStr">
        <is>
          <t>5903102000</t>
        </is>
      </c>
      <c r="G15" s="104" t="inlineStr">
        <is>
          <t>3921120000</t>
        </is>
      </c>
      <c r="H15" s="94" t="n">
        <v>1491</v>
      </c>
      <c r="I15" s="94" t="n">
        <v>1.43</v>
      </c>
      <c r="J15" s="202" t="n">
        <v>2132.13</v>
      </c>
      <c r="K15" s="94" t="n">
        <v>1006.42</v>
      </c>
      <c r="L15" s="94" t="n">
        <v>1059.45</v>
      </c>
      <c r="M15" s="203" t="n">
        <v>16.1</v>
      </c>
      <c r="N15" s="203" t="n">
        <v>24005.1</v>
      </c>
      <c r="P15" s="217" t="n"/>
      <c r="Q15" s="217">
        <f>M15*H15</f>
        <v/>
      </c>
      <c r="R15" s="217">
        <f>ROUND(Q15,2)</f>
        <v/>
      </c>
    </row>
    <row r="16" ht="78" customFormat="1" customHeight="1" s="87">
      <c r="B16" s="104" t="n">
        <v>4</v>
      </c>
      <c r="C16" s="104" t="n">
        <v>23</v>
      </c>
      <c r="D16" s="104" t="inlineStr">
        <is>
          <t>NAPPA 131</t>
        </is>
      </c>
      <c r="E16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6" s="104" t="inlineStr">
        <is>
          <t>5903102000</t>
        </is>
      </c>
      <c r="G16" s="104" t="inlineStr">
        <is>
          <t>3921120000</t>
        </is>
      </c>
      <c r="H16" s="94" t="n">
        <v>1029</v>
      </c>
      <c r="I16" s="94" t="n">
        <v>1.43</v>
      </c>
      <c r="J16" s="202" t="n">
        <v>1471.47</v>
      </c>
      <c r="K16" s="94" t="n">
        <v>694.58</v>
      </c>
      <c r="L16" s="94" t="n">
        <v>730.45</v>
      </c>
      <c r="M16" s="203" t="n">
        <v>16.1</v>
      </c>
      <c r="N16" s="203" t="n">
        <v>16566.9</v>
      </c>
      <c r="P16" s="217" t="n"/>
      <c r="Q16" s="217">
        <f>M16*H16</f>
        <v/>
      </c>
      <c r="R16" s="217">
        <f>ROUND(Q16,2)</f>
        <v/>
      </c>
    </row>
    <row r="17" ht="78" customFormat="1" customHeight="1" s="87">
      <c r="B17" s="104" t="n">
        <v>5</v>
      </c>
      <c r="C17" s="104" t="n">
        <v>34</v>
      </c>
      <c r="D17" s="104" t="inlineStr">
        <is>
          <t>NAPPA 410</t>
        </is>
      </c>
      <c r="E17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7" s="104" t="inlineStr">
        <is>
          <t>5903102000</t>
        </is>
      </c>
      <c r="G17" s="104" t="inlineStr">
        <is>
          <t>3921120000</t>
        </is>
      </c>
      <c r="H17" s="94" t="n">
        <v>1518</v>
      </c>
      <c r="I17" s="94" t="n">
        <v>1.43</v>
      </c>
      <c r="J17" s="202" t="n">
        <v>2170.74</v>
      </c>
      <c r="K17" s="94" t="n">
        <v>1024.65</v>
      </c>
      <c r="L17" s="94" t="n">
        <v>1077.68</v>
      </c>
      <c r="M17" s="203" t="n">
        <v>16.1</v>
      </c>
      <c r="N17" s="203" t="n">
        <v>24439.8</v>
      </c>
      <c r="P17" s="217" t="n"/>
      <c r="Q17" s="217">
        <f>M17*H17</f>
        <v/>
      </c>
      <c r="R17" s="217">
        <f>ROUND(Q17,2)</f>
        <v/>
      </c>
    </row>
    <row r="18" ht="78" customFormat="1" customHeight="1" s="87">
      <c r="B18" s="104" t="n">
        <v>6</v>
      </c>
      <c r="C18" s="104" t="n">
        <v>25</v>
      </c>
      <c r="D18" s="104" t="inlineStr">
        <is>
          <t>NAPPA 490</t>
        </is>
      </c>
      <c r="E18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8" s="104" t="inlineStr">
        <is>
          <t>5903102000</t>
        </is>
      </c>
      <c r="G18" s="104" t="inlineStr">
        <is>
          <t>3921120000</t>
        </is>
      </c>
      <c r="H18" s="94" t="n">
        <v>1021</v>
      </c>
      <c r="I18" s="94" t="n">
        <v>1.43</v>
      </c>
      <c r="J18" s="202" t="n">
        <v>1460.03</v>
      </c>
      <c r="K18" s="94" t="n">
        <v>689.17</v>
      </c>
      <c r="L18" s="94" t="n">
        <v>728.17</v>
      </c>
      <c r="M18" s="203" t="n">
        <v>16.1</v>
      </c>
      <c r="N18" s="203" t="n">
        <v>16438.1</v>
      </c>
      <c r="P18" s="217" t="n"/>
      <c r="Q18" s="217">
        <f>M18*H18</f>
        <v/>
      </c>
      <c r="R18" s="217">
        <f>ROUND(Q18,2)</f>
        <v/>
      </c>
    </row>
    <row r="19" ht="78" customFormat="1" customHeight="1" s="87">
      <c r="B19" s="104" t="n">
        <v>7</v>
      </c>
      <c r="C19" s="104" t="n">
        <v>13</v>
      </c>
      <c r="D19" s="104" t="inlineStr">
        <is>
          <t>NAPPA 692</t>
        </is>
      </c>
      <c r="E19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19" s="104" t="inlineStr">
        <is>
          <t>5903102000</t>
        </is>
      </c>
      <c r="G19" s="104" t="inlineStr">
        <is>
          <t>3921120000</t>
        </is>
      </c>
      <c r="H19" s="94" t="n">
        <v>499</v>
      </c>
      <c r="I19" s="94" t="n">
        <v>1.43</v>
      </c>
      <c r="J19" s="202" t="n">
        <v>713.5700000000001</v>
      </c>
      <c r="K19" s="94" t="n">
        <v>336.82</v>
      </c>
      <c r="L19" s="94" t="n">
        <v>357.1</v>
      </c>
      <c r="M19" s="203" t="n">
        <v>16.1</v>
      </c>
      <c r="N19" s="203" t="n">
        <v>8033.9</v>
      </c>
      <c r="P19" s="217" t="n"/>
      <c r="Q19" s="217">
        <f>M19*H19</f>
        <v/>
      </c>
      <c r="R19" s="217">
        <f>ROUND(Q19,2)</f>
        <v/>
      </c>
    </row>
    <row r="20" ht="78" customFormat="1" customHeight="1" s="87">
      <c r="B20" s="104" t="n">
        <v>8</v>
      </c>
      <c r="C20" s="104" t="n">
        <v>13</v>
      </c>
      <c r="D20" s="104" t="inlineStr">
        <is>
          <t>NAPPA 793</t>
        </is>
      </c>
      <c r="E20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0" s="104" t="inlineStr">
        <is>
          <t>5903102000</t>
        </is>
      </c>
      <c r="G20" s="104" t="inlineStr">
        <is>
          <t>3921120000</t>
        </is>
      </c>
      <c r="H20" s="94" t="n">
        <v>519.6</v>
      </c>
      <c r="I20" s="94" t="n">
        <v>1.43</v>
      </c>
      <c r="J20" s="202" t="n">
        <v>743.028</v>
      </c>
      <c r="K20" s="94" t="n">
        <v>350.73</v>
      </c>
      <c r="L20" s="94" t="n">
        <v>371.01</v>
      </c>
      <c r="M20" s="203" t="n">
        <v>16.1</v>
      </c>
      <c r="N20" s="203" t="n">
        <v>8365.559999999999</v>
      </c>
      <c r="P20" s="217" t="n"/>
      <c r="Q20" s="217">
        <f>M20*H20</f>
        <v/>
      </c>
      <c r="R20" s="217">
        <f>ROUND(Q20,2)</f>
        <v/>
      </c>
    </row>
    <row r="21" ht="78" customFormat="1" customHeight="1" s="87">
      <c r="B21" s="104" t="n">
        <v>9</v>
      </c>
      <c r="C21" s="104" t="n">
        <v>16</v>
      </c>
      <c r="D21" s="104" t="inlineStr">
        <is>
          <t>NAPPA 950</t>
        </is>
      </c>
      <c r="E21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1" s="104" t="inlineStr">
        <is>
          <t>5903102000</t>
        </is>
      </c>
      <c r="G21" s="104" t="inlineStr">
        <is>
          <t>3921120000</t>
        </is>
      </c>
      <c r="H21" s="94" t="n">
        <v>630</v>
      </c>
      <c r="I21" s="94" t="n">
        <v>1.43</v>
      </c>
      <c r="J21" s="202" t="n">
        <v>900.9</v>
      </c>
      <c r="K21" s="94" t="n">
        <v>425.25</v>
      </c>
      <c r="L21" s="94" t="n">
        <v>450.21</v>
      </c>
      <c r="M21" s="203" t="n">
        <v>16.1</v>
      </c>
      <c r="N21" s="203" t="n">
        <v>10143</v>
      </c>
      <c r="P21" s="217" t="n"/>
      <c r="Q21" s="217">
        <f>M21*H21</f>
        <v/>
      </c>
      <c r="R21" s="217">
        <f>ROUND(Q21,2)</f>
        <v/>
      </c>
    </row>
    <row r="22" ht="78" customFormat="1" customHeight="1" s="87">
      <c r="B22" s="104" t="n">
        <v>10</v>
      </c>
      <c r="C22" s="104" t="n">
        <v>13</v>
      </c>
      <c r="D22" s="104" t="inlineStr">
        <is>
          <t>NAPPA 968</t>
        </is>
      </c>
      <c r="E22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2" s="104" t="inlineStr">
        <is>
          <t>5903102000</t>
        </is>
      </c>
      <c r="G22" s="104" t="inlineStr">
        <is>
          <t>3921120000</t>
        </is>
      </c>
      <c r="H22" s="94" t="n">
        <v>523</v>
      </c>
      <c r="I22" s="94" t="n">
        <v>1.43</v>
      </c>
      <c r="J22" s="202" t="n">
        <v>747.89</v>
      </c>
      <c r="K22" s="94" t="n">
        <v>353.02</v>
      </c>
      <c r="L22" s="94" t="n">
        <v>373.3</v>
      </c>
      <c r="M22" s="203" t="n">
        <v>16.1</v>
      </c>
      <c r="N22" s="203" t="n">
        <v>8420.299999999999</v>
      </c>
      <c r="P22" s="217" t="n"/>
      <c r="Q22" s="217">
        <f>M22*H22</f>
        <v/>
      </c>
      <c r="R22" s="217">
        <f>ROUND(Q22,2)</f>
        <v/>
      </c>
    </row>
    <row r="23" ht="78" customFormat="1" customHeight="1" s="87">
      <c r="B23" s="104" t="n">
        <v>11</v>
      </c>
      <c r="C23" s="104" t="n">
        <v>24</v>
      </c>
      <c r="D23" s="104" t="inlineStr">
        <is>
          <t>NAPPA 990</t>
        </is>
      </c>
      <c r="E23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3" s="104" t="inlineStr">
        <is>
          <t>5903102000</t>
        </is>
      </c>
      <c r="G23" s="104" t="inlineStr">
        <is>
          <t>3921120000</t>
        </is>
      </c>
      <c r="H23" s="94" t="n">
        <v>985.3</v>
      </c>
      <c r="I23" s="94" t="n">
        <v>1.43</v>
      </c>
      <c r="J23" s="202" t="n">
        <v>1408.979</v>
      </c>
      <c r="K23" s="94" t="n">
        <v>665.08</v>
      </c>
      <c r="L23" s="94" t="n">
        <v>702.51</v>
      </c>
      <c r="M23" s="203" t="n">
        <v>16.1</v>
      </c>
      <c r="N23" s="203" t="n">
        <v>15863.33</v>
      </c>
      <c r="P23" s="217" t="n"/>
      <c r="Q23" s="217">
        <f>M23*H23</f>
        <v/>
      </c>
      <c r="R23" s="217">
        <f>ROUND(Q23,2)</f>
        <v/>
      </c>
    </row>
    <row r="24" ht="78" customFormat="1" customHeight="1" s="87">
      <c r="B24" s="104" t="n">
        <v>12</v>
      </c>
      <c r="C24" s="104" t="n">
        <v>23</v>
      </c>
      <c r="D24" s="104" t="inlineStr">
        <is>
          <t>NAPPA 993</t>
        </is>
      </c>
      <c r="E24" s="104" t="inlineStr">
        <is>
          <t>Furniture upholstery fabric (artificial leather), composition: 100% Polyester
 with a reinforcing base made of 100% PVC/ Полотно для обивки мебели (искусственная кожа), состав: 100% Полиэстер  с армирующей основой из 100 % ПВХ.</t>
        </is>
      </c>
      <c r="F24" s="104" t="inlineStr">
        <is>
          <t>5903102000</t>
        </is>
      </c>
      <c r="G24" s="104" t="inlineStr">
        <is>
          <t>3921120000</t>
        </is>
      </c>
      <c r="H24" s="94" t="n">
        <v>1030</v>
      </c>
      <c r="I24" s="94" t="n">
        <v>1.43</v>
      </c>
      <c r="J24" s="202" t="n">
        <v>1472.9</v>
      </c>
      <c r="K24" s="94" t="n">
        <v>695.25</v>
      </c>
      <c r="L24" s="94" t="n">
        <v>731.12</v>
      </c>
      <c r="M24" s="203" t="n">
        <v>16.1</v>
      </c>
      <c r="N24" s="203" t="n">
        <v>16583</v>
      </c>
      <c r="P24" s="217" t="n"/>
      <c r="Q24" s="217">
        <f>M24*H24</f>
        <v/>
      </c>
      <c r="R24" s="217">
        <f>ROUND(Q24,2)</f>
        <v/>
      </c>
    </row>
    <row r="25" ht="78" customFormat="1" customHeight="1" s="87">
      <c r="B25" s="104" t="n">
        <v>13</v>
      </c>
      <c r="C25" s="104" t="n">
        <v>21</v>
      </c>
      <c r="D25" s="104" t="inlineStr">
        <is>
          <t>Magic 01</t>
        </is>
      </c>
      <c r="E25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5" s="104" t="inlineStr">
        <is>
          <t>5903202000</t>
        </is>
      </c>
      <c r="G25" s="104" t="inlineStr">
        <is>
          <t>3921131000</t>
        </is>
      </c>
      <c r="H25" s="94" t="n">
        <v>694</v>
      </c>
      <c r="I25" s="94" t="n">
        <v>1.42</v>
      </c>
      <c r="J25" s="202" t="n">
        <v>985.48</v>
      </c>
      <c r="K25" s="94" t="n">
        <v>485.8</v>
      </c>
      <c r="L25" s="94" t="n">
        <v>506.92</v>
      </c>
      <c r="M25" s="203" t="n">
        <v>44.1</v>
      </c>
      <c r="N25" s="203" t="n">
        <v>30605.4</v>
      </c>
      <c r="P25" s="217" t="n"/>
      <c r="Q25" s="217">
        <f>M25*H25</f>
        <v/>
      </c>
      <c r="R25" s="217">
        <f>ROUND(Q25,2)</f>
        <v/>
      </c>
    </row>
    <row r="26" ht="78" customFormat="1" customHeight="1" s="87">
      <c r="B26" s="104" t="n">
        <v>14</v>
      </c>
      <c r="C26" s="104" t="n">
        <v>15</v>
      </c>
      <c r="D26" s="104" t="inlineStr">
        <is>
          <t>Magic 02</t>
        </is>
      </c>
      <c r="E26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6" s="104" t="inlineStr">
        <is>
          <t>5903202000</t>
        </is>
      </c>
      <c r="G26" s="104" t="inlineStr">
        <is>
          <t>3921131000</t>
        </is>
      </c>
      <c r="H26" s="94" t="n">
        <v>501</v>
      </c>
      <c r="I26" s="94" t="n">
        <v>1.42</v>
      </c>
      <c r="J26" s="202" t="n">
        <v>711.42</v>
      </c>
      <c r="K26" s="94" t="n">
        <v>350.7</v>
      </c>
      <c r="L26" s="94" t="n">
        <v>365.78</v>
      </c>
      <c r="M26" s="203" t="n">
        <v>44.1</v>
      </c>
      <c r="N26" s="203" t="n">
        <v>22094.1</v>
      </c>
      <c r="P26" s="217" t="n"/>
      <c r="Q26" s="217">
        <f>M26*H26</f>
        <v/>
      </c>
      <c r="R26" s="217">
        <f>ROUND(Q26,2)</f>
        <v/>
      </c>
    </row>
    <row r="27" ht="78" customFormat="1" customHeight="1" s="87">
      <c r="B27" s="104" t="n">
        <v>15</v>
      </c>
      <c r="C27" s="104" t="n">
        <v>16</v>
      </c>
      <c r="D27" s="104" t="inlineStr">
        <is>
          <t>Magic 12</t>
        </is>
      </c>
      <c r="E27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7" s="104" t="inlineStr">
        <is>
          <t>5903202000</t>
        </is>
      </c>
      <c r="G27" s="104" t="inlineStr">
        <is>
          <t>3921131000</t>
        </is>
      </c>
      <c r="H27" s="94" t="n">
        <v>542</v>
      </c>
      <c r="I27" s="94" t="n">
        <v>1.42</v>
      </c>
      <c r="J27" s="202" t="n">
        <v>769.64</v>
      </c>
      <c r="K27" s="94" t="n">
        <v>379.4</v>
      </c>
      <c r="L27" s="94" t="n">
        <v>395.49</v>
      </c>
      <c r="M27" s="203" t="n">
        <v>44.1</v>
      </c>
      <c r="N27" s="203" t="n">
        <v>23902.2</v>
      </c>
      <c r="P27" s="217" t="n"/>
      <c r="Q27" s="217">
        <f>M27*H27</f>
        <v/>
      </c>
      <c r="R27" s="217">
        <f>ROUND(Q27,2)</f>
        <v/>
      </c>
    </row>
    <row r="28" ht="78" customFormat="1" customHeight="1" s="87">
      <c r="B28" s="104" t="n">
        <v>16</v>
      </c>
      <c r="C28" s="104" t="n">
        <v>19</v>
      </c>
      <c r="D28" s="104" t="inlineStr">
        <is>
          <t>Magic 17</t>
        </is>
      </c>
      <c r="E28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8" s="104" t="inlineStr">
        <is>
          <t>5903202000</t>
        </is>
      </c>
      <c r="G28" s="104" t="inlineStr">
        <is>
          <t>3921131000</t>
        </is>
      </c>
      <c r="H28" s="94" t="n">
        <v>631</v>
      </c>
      <c r="I28" s="94" t="n">
        <v>1.42</v>
      </c>
      <c r="J28" s="202" t="n">
        <v>896.02</v>
      </c>
      <c r="K28" s="94" t="n">
        <v>441.7</v>
      </c>
      <c r="L28" s="94" t="n">
        <v>460.81</v>
      </c>
      <c r="M28" s="203" t="n">
        <v>44.1</v>
      </c>
      <c r="N28" s="203" t="n">
        <v>27827.1</v>
      </c>
      <c r="P28" s="217" t="n"/>
      <c r="Q28" s="217">
        <f>M28*H28</f>
        <v/>
      </c>
      <c r="R28" s="217">
        <f>ROUND(Q28,2)</f>
        <v/>
      </c>
    </row>
    <row r="29" ht="78" customFormat="1" customHeight="1" s="87">
      <c r="B29" s="104" t="n">
        <v>17</v>
      </c>
      <c r="C29" s="104" t="n">
        <v>38</v>
      </c>
      <c r="D29" s="104" t="inlineStr">
        <is>
          <t>Magic 20</t>
        </is>
      </c>
      <c r="E29" s="104" t="inlineStr">
        <is>
          <t>Artificial upholstery leather,  made from: polyurethane - 100% with polyester reinforcing base. Полотно для обивки мебели (искусственная кожа), состав: полиуретан 100% с армирующей основой из полиэстра.</t>
        </is>
      </c>
      <c r="F29" s="104" t="inlineStr">
        <is>
          <t>5903202000</t>
        </is>
      </c>
      <c r="G29" s="104" t="inlineStr">
        <is>
          <t>3921131000</t>
        </is>
      </c>
      <c r="H29" s="94" t="n">
        <v>1301</v>
      </c>
      <c r="I29" s="94" t="n">
        <v>1.42</v>
      </c>
      <c r="J29" s="202" t="n">
        <v>1847.42</v>
      </c>
      <c r="K29" s="94" t="n">
        <v>910.7</v>
      </c>
      <c r="L29" s="94" t="n">
        <v>949</v>
      </c>
      <c r="M29" s="203" t="n">
        <v>45.4</v>
      </c>
      <c r="N29" s="203" t="n">
        <v>59065.4</v>
      </c>
      <c r="P29" s="217" t="n"/>
      <c r="Q29" s="217">
        <f>M29*H29</f>
        <v/>
      </c>
      <c r="R29" s="217">
        <f>ROUND(Q29,2)</f>
        <v/>
      </c>
    </row>
    <row r="30" ht="50.2" customFormat="1" customHeight="1" s="87">
      <c r="B30" s="6" t="n"/>
      <c r="C30" s="163" t="n"/>
      <c r="F30" s="40" t="n"/>
      <c r="G30" s="40" t="n"/>
      <c r="H30" s="94" t="n"/>
      <c r="I30" s="94" t="n"/>
      <c r="J30" s="202" t="n"/>
      <c r="K30" s="94" t="n"/>
      <c r="L30" s="94" t="n"/>
      <c r="M30" s="203" t="n"/>
      <c r="N30" s="203" t="n"/>
      <c r="P30" s="217" t="n"/>
      <c r="Q30" s="217" t="n"/>
      <c r="R30" s="217" t="n"/>
    </row>
    <row r="31" ht="17.25" customHeight="1" s="11">
      <c r="C31" s="165" t="n"/>
      <c r="F31" s="42" t="n"/>
      <c r="G31" s="42" t="n"/>
      <c r="H31" s="6" t="n"/>
      <c r="I31" s="16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25.5" customHeight="1" s="11">
      <c r="C32" s="165" t="n"/>
      <c r="F32" s="42" t="n"/>
      <c r="G32" s="42" t="n"/>
      <c r="H32" s="6" t="n"/>
      <c r="I32" s="165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31.5" customHeight="1" s="11">
      <c r="C33" s="165" t="n"/>
      <c r="F33" s="42" t="n"/>
      <c r="G33" s="42" t="n"/>
      <c r="H33" s="6" t="n"/>
      <c r="I33" s="165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20.25" customHeight="1" s="11">
      <c r="C34" s="166" t="n"/>
      <c r="F34" s="38" t="n"/>
      <c r="G34" s="38" t="n"/>
      <c r="H34" s="6" t="n"/>
      <c r="I34" s="165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167" t="n"/>
      <c r="F35" s="43" t="n"/>
      <c r="G35" s="43" t="n"/>
      <c r="H35" s="6" t="n"/>
      <c r="I35" s="165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66" t="n"/>
      <c r="F36" s="42" t="n"/>
      <c r="G36" s="42" t="n"/>
      <c r="H36" s="6" t="n"/>
      <c r="I36" s="168" t="n"/>
      <c r="M36" s="58" t="n"/>
      <c r="N36" s="213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46" t="n"/>
      <c r="D37" s="46" t="n"/>
      <c r="E37" s="54" t="n"/>
      <c r="F37" s="38" t="n"/>
      <c r="G37" s="38" t="n"/>
      <c r="H37" s="6" t="n"/>
      <c r="I37" s="165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36.75" customHeight="1" s="11">
      <c r="C38" s="165" t="n"/>
      <c r="F38" s="42" t="n"/>
      <c r="G38" s="42" t="n"/>
      <c r="H38" s="212" t="n"/>
      <c r="I38" s="165" t="n"/>
      <c r="J38" s="213" t="n"/>
      <c r="K38" s="58" t="n"/>
      <c r="L38" s="214" t="n"/>
      <c r="M38" s="58" t="n"/>
      <c r="N38" s="213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17.25" customHeight="1" s="11">
      <c r="C39" s="46" t="n"/>
      <c r="D39" s="46" t="n"/>
      <c r="E39" s="54" t="n"/>
      <c r="F39" s="38" t="n"/>
      <c r="G39" s="38" t="n"/>
      <c r="H39" s="212" t="n"/>
      <c r="I39" s="165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63" t="n"/>
      <c r="D40" s="163" t="n"/>
      <c r="E40" s="54" t="n"/>
      <c r="F40" s="38" t="n"/>
      <c r="G40" s="38" t="n"/>
      <c r="H40" s="212" t="n"/>
      <c r="I40" s="46" t="n"/>
      <c r="J40" s="213" t="n"/>
      <c r="K40" s="58" t="n"/>
      <c r="L40" s="214" t="n"/>
      <c r="M40" s="58" t="n"/>
      <c r="N40" s="213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17.25" customHeight="1" s="11">
      <c r="C41" s="169" t="n"/>
      <c r="F41" s="38" t="n"/>
      <c r="G41" s="38" t="n"/>
      <c r="H41" s="212" t="n"/>
      <c r="I41" s="163" t="n"/>
      <c r="J41" s="213" t="n"/>
      <c r="K41" s="58" t="n"/>
      <c r="L41" s="214" t="n"/>
      <c r="M41" s="58" t="n"/>
      <c r="N41" s="213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13.5" customHeight="1" s="11">
      <c r="C42" s="165" t="n"/>
      <c r="F42" s="42" t="n"/>
      <c r="G42" s="42" t="n"/>
      <c r="H42" s="212" t="n"/>
      <c r="I42" s="165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30.75" customHeight="1" s="11">
      <c r="C43" s="165" t="n"/>
      <c r="D43" s="165" t="n"/>
      <c r="E43" s="54" t="n"/>
      <c r="F43" s="38" t="n"/>
      <c r="G43" s="38" t="n"/>
      <c r="H43" s="212" t="n"/>
      <c r="I43" s="165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65" t="n"/>
      <c r="D44" s="165" t="n"/>
      <c r="E44" s="54" t="n"/>
      <c r="F44" s="38" t="n"/>
      <c r="G44" s="38" t="n"/>
      <c r="H44" s="212" t="n"/>
      <c r="I44" s="165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21" customHeight="1" s="11">
      <c r="C45" s="165" t="n"/>
      <c r="D45" s="165" t="n"/>
      <c r="E45" s="54" t="n"/>
      <c r="F45" s="38" t="n"/>
      <c r="G45" s="38" t="n"/>
      <c r="H45" s="212" t="n"/>
      <c r="I45" s="165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23.25" customHeight="1" s="11">
      <c r="C46" s="169" t="n"/>
      <c r="D46" s="169" t="n"/>
      <c r="E46" s="54" t="n"/>
      <c r="F46" s="38" t="n"/>
      <c r="G46" s="38" t="n"/>
      <c r="H46" s="212" t="n"/>
      <c r="I46" s="165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65" t="n"/>
      <c r="F47" s="42" t="n"/>
      <c r="G47" s="42" t="n"/>
      <c r="H47" s="212" t="n"/>
      <c r="I47" s="165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65" t="n"/>
      <c r="D48" s="165" t="n"/>
      <c r="E48" s="54" t="n"/>
      <c r="F48" s="38" t="n"/>
      <c r="G48" s="38" t="n"/>
      <c r="H48" s="212" t="n"/>
      <c r="I48" s="165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65" t="n"/>
      <c r="F49" s="38" t="n"/>
      <c r="G49" s="38" t="n"/>
      <c r="H49" s="212" t="n"/>
      <c r="I49" s="165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65" t="n"/>
      <c r="F50" s="38" t="n"/>
      <c r="G50" s="38" t="n"/>
      <c r="H50" s="212" t="n"/>
      <c r="I50" s="165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65" t="n"/>
      <c r="F51" s="42" t="n"/>
      <c r="G51" s="42" t="n"/>
      <c r="H51" s="212" t="n"/>
      <c r="I51" s="165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65" t="n"/>
      <c r="F52" s="42" t="n"/>
      <c r="G52" s="42" t="n"/>
      <c r="H52" s="212" t="n"/>
      <c r="I52" s="165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65" t="n"/>
      <c r="F53" s="42" t="n"/>
      <c r="G53" s="42" t="n"/>
      <c r="H53" s="212" t="n"/>
      <c r="I53" s="165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65" t="n"/>
      <c r="D54" s="165" t="n"/>
      <c r="E54" s="54" t="n"/>
      <c r="F54" s="38" t="n"/>
      <c r="G54" s="38" t="n"/>
      <c r="H54" s="212" t="n"/>
      <c r="I54" s="165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7.25" customHeight="1" s="11">
      <c r="C55" s="165" t="n"/>
      <c r="F55" s="42" t="n"/>
      <c r="G55" s="42" t="n"/>
      <c r="H55" s="212" t="n"/>
      <c r="I55" s="165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17.25" customHeight="1" s="11">
      <c r="C56" s="165" t="n"/>
      <c r="F56" s="42" t="n"/>
      <c r="G56" s="42" t="n"/>
      <c r="H56" s="212" t="n"/>
      <c r="I56" s="165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165" t="n"/>
      <c r="D57" s="165" t="n"/>
      <c r="E57" s="54" t="n"/>
      <c r="F57" s="38" t="n"/>
      <c r="G57" s="38" t="n"/>
      <c r="H57" s="212" t="n"/>
      <c r="I57" s="165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Q57" s="6" t="n"/>
      <c r="GR57" s="6" t="n"/>
      <c r="GS57" s="6" t="n"/>
      <c r="GT57" s="6" t="n"/>
      <c r="GU57" s="6" t="n"/>
    </row>
    <row r="58" ht="17.25" customHeight="1" s="11">
      <c r="C58" s="165" t="n"/>
      <c r="D58" s="165" t="n"/>
      <c r="E58" s="54" t="n"/>
      <c r="F58" s="38" t="n"/>
      <c r="G58" s="38" t="n"/>
      <c r="H58" s="212" t="n"/>
      <c r="I58" s="165" t="n"/>
      <c r="J58" s="213" t="n"/>
      <c r="K58" s="58" t="n"/>
      <c r="L58" s="214" t="n"/>
      <c r="M58" s="58" t="n"/>
      <c r="N58" s="213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  <c r="GO58" s="6" t="n"/>
      <c r="GP58" s="6" t="n"/>
      <c r="GQ58" s="6" t="n"/>
      <c r="GR58" s="6" t="n"/>
      <c r="GS58" s="6" t="n"/>
      <c r="GT58" s="6" t="n"/>
      <c r="GU58" s="6" t="n"/>
    </row>
    <row r="59" ht="18.75" customHeight="1" s="11">
      <c r="C59" s="165" t="n"/>
      <c r="F59" s="42" t="n"/>
      <c r="G59" s="42" t="n"/>
      <c r="H59" s="212" t="n"/>
      <c r="I59" s="165" t="n"/>
      <c r="J59" s="213" t="n"/>
      <c r="K59" s="58" t="n"/>
      <c r="L59" s="214" t="n"/>
      <c r="M59" s="58" t="n"/>
      <c r="N59" s="213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Q59" s="6" t="n"/>
      <c r="GR59" s="6" t="n"/>
      <c r="GS59" s="6" t="n"/>
      <c r="GT59" s="6" t="n"/>
      <c r="GU59" s="6" t="n"/>
    </row>
    <row r="60" ht="63.75" customHeight="1" s="11">
      <c r="C60" s="6" t="n"/>
      <c r="D60" s="6" t="n"/>
      <c r="E60" s="46" t="n"/>
      <c r="F60" s="6" t="n"/>
      <c r="G60" s="6" t="n"/>
      <c r="H60" s="212" t="n"/>
      <c r="I60" s="165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  <c r="GO60" s="6" t="n"/>
      <c r="GP60" s="6" t="n"/>
      <c r="GQ60" s="6" t="n"/>
      <c r="GR60" s="6" t="n"/>
      <c r="GS60" s="6" t="n"/>
      <c r="GT60" s="6" t="n"/>
      <c r="GU60" s="6" t="n"/>
    </row>
    <row r="61" ht="17.25" customHeight="1" s="11">
      <c r="C61" s="6" t="n"/>
      <c r="D61" s="6" t="n"/>
      <c r="E61" s="46" t="n"/>
      <c r="F61" s="6" t="n"/>
      <c r="G61" s="6" t="n"/>
      <c r="H61" s="6" t="n"/>
      <c r="I61" s="6" t="n"/>
      <c r="J61" s="215" t="n"/>
      <c r="K61" s="59" t="n"/>
      <c r="L61" s="216" t="n"/>
      <c r="M61" s="6" t="n"/>
      <c r="N61" s="215" t="n"/>
      <c r="GV61" s="5" t="n"/>
      <c r="GW61" s="5" t="n"/>
      <c r="GX61" s="5" t="n"/>
    </row>
    <row r="62" ht="17.25" customHeight="1" s="11">
      <c r="C62" s="5" t="n"/>
      <c r="D62" s="5" t="n"/>
      <c r="H62" s="6" t="n"/>
      <c r="I62" s="6" t="n"/>
      <c r="J62" s="215" t="n"/>
      <c r="K62" s="59" t="n"/>
      <c r="L62" s="216" t="n"/>
      <c r="M62" s="6" t="n"/>
      <c r="N62" s="215" t="n"/>
      <c r="GV62" s="5" t="n"/>
      <c r="GW62" s="5" t="n"/>
      <c r="GX62" s="5" t="n"/>
      <c r="GY62" s="5" t="n"/>
      <c r="GZ62" s="5" t="n"/>
      <c r="HA62" s="5" t="n"/>
      <c r="HB62" s="5" t="n"/>
      <c r="HC62" s="5" t="n"/>
      <c r="HD62" s="5" t="n"/>
      <c r="HE62" s="5" t="n"/>
    </row>
    <row r="63" ht="17.25" customHeight="1" s="11">
      <c r="M63" s="47" t="n"/>
      <c r="GV63" s="5" t="n"/>
      <c r="GW63" s="5" t="n"/>
      <c r="GX63" s="5" t="n"/>
      <c r="GY63" s="5" t="n"/>
      <c r="GZ63" s="5" t="n"/>
      <c r="HA63" s="5" t="n"/>
      <c r="HB63" s="5" t="n"/>
    </row>
  </sheetData>
  <autoFilter ref="A12:HE30"/>
  <mergeCells count="22">
    <mergeCell ref="I9:M9"/>
    <mergeCell ref="I7:N7"/>
    <mergeCell ref="B9:E9"/>
    <mergeCell ref="B7:F7"/>
    <mergeCell ref="C55:E55"/>
    <mergeCell ref="I56:N56"/>
    <mergeCell ref="C56:E56"/>
    <mergeCell ref="C59:E59"/>
    <mergeCell ref="B5:N5"/>
    <mergeCell ref="I55:N55"/>
    <mergeCell ref="B4:N4"/>
    <mergeCell ref="I8:N8"/>
    <mergeCell ref="B8:F8"/>
    <mergeCell ref="B3:N3"/>
    <mergeCell ref="M6:N6"/>
    <mergeCell ref="I10:N10"/>
    <mergeCell ref="B10:F10"/>
    <mergeCell ref="I60:N60"/>
    <mergeCell ref="B2:N2"/>
    <mergeCell ref="B1:N1"/>
    <mergeCell ref="I57:N57"/>
    <mergeCell ref="I54:N54"/>
  </mergeCells>
  <hyperlinks>
    <hyperlink xmlns:r="http://schemas.openxmlformats.org/officeDocument/2006/relationships" ref="B4" r:id="rId1"/>
    <hyperlink xmlns:r="http://schemas.openxmlformats.org/officeDocument/2006/relationships" ref="C35" display="http://www.zhongfanghz.cn/" r:id="rId2"/>
    <hyperlink xmlns:r="http://schemas.openxmlformats.org/officeDocument/2006/relationships" ref="I36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2026-09-03T11:12:58Z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