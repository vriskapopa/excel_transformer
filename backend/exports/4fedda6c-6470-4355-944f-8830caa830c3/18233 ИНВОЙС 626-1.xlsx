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Print_Area" localSheetId="0">'Sheet1'!$A$1:$I$46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22"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b val="1"/>
      <sz val="24"/>
    </font>
    <font>
      <name val="Times New Roman"/>
      <charset val="204"/>
      <family val="1"/>
      <sz val="16"/>
    </font>
    <font>
      <name val="Times New Roman"/>
      <charset val="204"/>
      <family val="1"/>
      <b val="1"/>
      <sz val="28"/>
      <u val="single"/>
    </font>
    <font>
      <name val="Times New Roman"/>
      <charset val="204"/>
      <family val="1"/>
      <sz val="11"/>
    </font>
    <font>
      <name val="宋体"/>
      <charset val="134"/>
      <sz val="10"/>
    </font>
    <font>
      <name val="宋体"/>
      <charset val="134"/>
      <sz val="12"/>
    </font>
    <font>
      <name val="Calibri"/>
      <charset val="204"/>
      <family val="2"/>
      <color rgb="FF0000FF"/>
      <sz val="11"/>
      <u val="single"/>
      <scheme val="minor"/>
    </font>
    <font>
      <name val="宋体"/>
      <charset val="134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宋体"/>
      <family val="2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134"/>
      <sz val="10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sz val="12"/>
    </font>
    <font>
      <name val="Times New Roman"/>
      <charset val="134"/>
      <sz val="9"/>
    </font>
    <font>
      <name val="Times New Roman"/>
      <charset val="134"/>
      <b val="1"/>
      <sz val="10"/>
    </font>
  </fonts>
  <fills count="3">
    <fill>
      <patternFill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9" fillId="0" borderId="0" applyAlignment="1">
      <alignment vertical="center"/>
    </xf>
    <xf numFmtId="0" fontId="8" fillId="0" borderId="0" applyAlignment="1">
      <alignment vertical="center"/>
    </xf>
    <xf numFmtId="0" fontId="9" fillId="0" borderId="0"/>
    <xf numFmtId="0" fontId="14" fillId="0" borderId="0"/>
  </cellStyleXfs>
  <cellXfs count="66">
    <xf numFmtId="0" fontId="0" fillId="0" borderId="0" pivotButton="0" quotePrefix="0" xfId="0"/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0" fontId="1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10" fillId="0" borderId="0" applyAlignment="1" pivotButton="0" quotePrefix="0" xfId="2">
      <alignment horizontal="center"/>
    </xf>
    <xf numFmtId="165" fontId="10" fillId="0" borderId="0" pivotButton="0" quotePrefix="0" xfId="2"/>
    <xf numFmtId="0" fontId="10" fillId="0" borderId="0" pivotButton="0" quotePrefix="0" xfId="2"/>
    <xf numFmtId="0" fontId="10" fillId="0" borderId="0" applyAlignment="1" pivotButton="0" quotePrefix="0" xfId="2">
      <alignment horizontal="left"/>
    </xf>
    <xf numFmtId="0" fontId="1" fillId="0" borderId="0" applyAlignment="1" pivotButton="0" quotePrefix="0" xfId="2">
      <alignment horizontal="left"/>
    </xf>
    <xf numFmtId="164" fontId="1" fillId="0" borderId="0" applyAlignment="1" pivotButton="0" quotePrefix="0" xfId="2">
      <alignment horizontal="left"/>
    </xf>
    <xf numFmtId="0" fontId="12" fillId="0" borderId="0" pivotButton="0" quotePrefix="0" xfId="2"/>
    <xf numFmtId="0" fontId="15" fillId="0" borderId="0" applyAlignment="1" pivotButton="0" quotePrefix="0" xfId="2">
      <alignment horizontal="left"/>
    </xf>
    <xf numFmtId="0" fontId="7" fillId="0" borderId="0" applyAlignment="1" pivotButton="0" quotePrefix="0" xfId="2">
      <alignment vertical="center"/>
    </xf>
    <xf numFmtId="0" fontId="1" fillId="0" borderId="0" pivotButton="0" quotePrefix="0" xfId="0"/>
    <xf numFmtId="0" fontId="18" fillId="0" borderId="0" applyAlignment="1" pivotButton="0" quotePrefix="0" xfId="2">
      <alignment horizontal="center"/>
    </xf>
    <xf numFmtId="0" fontId="16" fillId="0" borderId="2" applyAlignment="1" pivotButton="0" quotePrefix="0" xfId="2">
      <alignment horizontal="left"/>
    </xf>
    <xf numFmtId="0" fontId="16" fillId="0" borderId="2" applyAlignment="1" pivotButton="0" quotePrefix="0" xfId="2">
      <alignment horizontal="right"/>
    </xf>
    <xf numFmtId="0" fontId="17" fillId="0" borderId="0" applyAlignment="1" pivotButton="0" quotePrefix="0" xfId="2">
      <alignment horizontal="left" vertical="center" wrapText="1"/>
    </xf>
    <xf numFmtId="0" fontId="18" fillId="0" borderId="0" pivotButton="0" quotePrefix="0" xfId="2"/>
    <xf numFmtId="0" fontId="19" fillId="0" borderId="0" pivotButton="0" quotePrefix="0" xfId="2"/>
    <xf numFmtId="0" fontId="19" fillId="0" borderId="0" applyAlignment="1" pivotButton="0" quotePrefix="0" xfId="2">
      <alignment horizontal="right"/>
    </xf>
    <xf numFmtId="0" fontId="20" fillId="0" borderId="3" applyAlignment="1" pivotButton="0" quotePrefix="0" xfId="2">
      <alignment horizontal="center"/>
    </xf>
    <xf numFmtId="0" fontId="20" fillId="0" borderId="3" applyAlignment="1" pivotButton="0" quotePrefix="0" xfId="2">
      <alignment horizontal="center" wrapText="1"/>
    </xf>
    <xf numFmtId="0" fontId="20" fillId="0" borderId="1" applyAlignment="1" pivotButton="0" quotePrefix="0" xfId="2">
      <alignment horizontal="center" wrapText="1"/>
    </xf>
    <xf numFmtId="0" fontId="6" fillId="0" borderId="0" applyAlignment="1" pivotButton="0" quotePrefix="0" xfId="2">
      <alignment horizontal="center" vertical="center"/>
    </xf>
    <xf numFmtId="0" fontId="13" fillId="0" borderId="0" pivotButton="0" quotePrefix="0" xfId="2"/>
    <xf numFmtId="0" fontId="16" fillId="0" borderId="1" applyAlignment="1" pivotButton="0" quotePrefix="0" xfId="2">
      <alignment horizontal="center"/>
    </xf>
    <xf numFmtId="0" fontId="16" fillId="0" borderId="1" applyAlignment="1" pivotButton="0" quotePrefix="0" xfId="2">
      <alignment horizontal="center" wrapText="1"/>
    </xf>
    <xf numFmtId="165" fontId="16" fillId="0" borderId="1" applyAlignment="1" pivotButton="0" quotePrefix="0" xfId="2">
      <alignment horizontal="center" wrapText="1"/>
    </xf>
    <xf numFmtId="164" fontId="16" fillId="0" borderId="1" applyAlignment="1" pivotButton="0" quotePrefix="0" xfId="2">
      <alignment horizontal="center"/>
    </xf>
    <xf numFmtId="0" fontId="16" fillId="2" borderId="1" applyAlignment="1" pivotButton="0" quotePrefix="0" xfId="2">
      <alignment horizontal="center"/>
    </xf>
    <xf numFmtId="0" fontId="16" fillId="2" borderId="1" applyAlignment="1" pivotButton="0" quotePrefix="0" xfId="2">
      <alignment horizontal="center" wrapText="1"/>
    </xf>
    <xf numFmtId="165" fontId="16" fillId="2" borderId="1" applyAlignment="1" pivotButton="0" quotePrefix="0" xfId="2">
      <alignment horizontal="center"/>
    </xf>
    <xf numFmtId="164" fontId="16" fillId="2" borderId="1" applyAlignment="1" pivotButton="0" quotePrefix="0" xfId="2">
      <alignment horizontal="center"/>
    </xf>
    <xf numFmtId="0" fontId="21" fillId="0" borderId="4" applyAlignment="1" pivotButton="0" quotePrefix="0" xfId="2">
      <alignment horizontal="center"/>
    </xf>
    <xf numFmtId="0" fontId="21" fillId="0" borderId="5" applyAlignment="1" pivotButton="0" quotePrefix="0" xfId="2">
      <alignment horizontal="center"/>
    </xf>
    <xf numFmtId="0" fontId="21" fillId="0" borderId="6" applyAlignment="1" pivotButton="0" quotePrefix="0" xfId="2">
      <alignment horizontal="center"/>
    </xf>
    <xf numFmtId="165" fontId="21" fillId="0" borderId="5" applyAlignment="1" pivotButton="0" quotePrefix="0" xfId="2">
      <alignment horizontal="center"/>
    </xf>
    <xf numFmtId="164" fontId="21" fillId="0" borderId="5" applyAlignment="1" pivotButton="0" quotePrefix="0" xfId="2">
      <alignment horizontal="center"/>
    </xf>
    <xf numFmtId="165" fontId="21" fillId="0" borderId="7" applyAlignment="1" pivotButton="0" quotePrefix="0" xfId="2">
      <alignment horizontal="center"/>
    </xf>
    <xf numFmtId="0" fontId="7" fillId="0" borderId="0" applyAlignment="1" pivotButton="0" quotePrefix="0" xfId="2">
      <alignment horizontal="right" vertic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2">
      <alignment horizontal="right"/>
    </xf>
    <xf numFmtId="0" fontId="2" fillId="0" borderId="0" applyAlignment="1" pivotButton="0" quotePrefix="0" xfId="2">
      <alignment horizontal="center"/>
    </xf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 wrapText="1"/>
    </xf>
    <xf numFmtId="0" fontId="8" fillId="0" borderId="0" applyAlignment="1" pivotButton="0" quotePrefix="0" xfId="1">
      <alignment horizontal="center"/>
    </xf>
    <xf numFmtId="0" fontId="1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/>
    </xf>
    <xf numFmtId="165" fontId="11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 wrapText="1"/>
    </xf>
    <xf numFmtId="0" fontId="5" fillId="0" borderId="0" applyAlignment="1" pivotButton="0" quotePrefix="0" xfId="2">
      <alignment horizontal="center" wrapText="1"/>
    </xf>
    <xf numFmtId="0" fontId="17" fillId="0" borderId="0" applyAlignment="1" pivotButton="0" quotePrefix="0" xfId="2">
      <alignment horizontal="left" vertical="center"/>
    </xf>
    <xf numFmtId="0" fontId="1" fillId="0" borderId="0" pivotButton="0" quotePrefix="0" xfId="0"/>
    <xf numFmtId="0" fontId="17" fillId="0" borderId="0" applyAlignment="1" pivotButton="0" quotePrefix="0" xfId="2">
      <alignment horizontal="left" vertical="center" wrapText="1"/>
    </xf>
  </cellXfs>
  <cellStyles count="4">
    <cellStyle name="Обычный" xfId="0" builtinId="0"/>
    <cellStyle name="Гиперссылка" xfId="1" builtinId="8"/>
    <cellStyle name="Normal" xfId="2"/>
    <cellStyle name="Normal 2" xf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tabSelected="1" topLeftCell="A5" zoomScale="70" zoomScaleNormal="70" workbookViewId="0">
      <selection activeCell="A47" sqref="A47:XFD75"/>
    </sheetView>
  </sheetViews>
  <sheetFormatPr baseColWidth="8" defaultColWidth="9" defaultRowHeight="13.5"/>
  <cols>
    <col width="4.46484375" customWidth="1" style="49" min="1" max="1"/>
    <col width="18.796875" customWidth="1" style="49" min="2" max="2"/>
    <col width="15.33203125" customWidth="1" style="49" min="3" max="3"/>
    <col width="8.06640625" customWidth="1" style="49" min="4" max="4"/>
    <col width="9.73046875" customWidth="1" style="50" min="5" max="5"/>
    <col width="10" customWidth="1" style="51" min="6" max="6"/>
    <col width="14.59765625" customWidth="1" style="49" min="7" max="7"/>
    <col width="14.33203125" customWidth="1" style="49" min="8" max="8"/>
    <col width="15.33203125" customWidth="1" style="49" min="9" max="9"/>
    <col width="16.73046875" customWidth="1" style="49" min="10" max="10"/>
    <col width="6" customWidth="1" style="49" min="11" max="11"/>
    <col width="9" customWidth="1" style="49" min="12" max="16384"/>
  </cols>
  <sheetData>
    <row r="1" ht="30.75" customHeight="1">
      <c r="A1" s="48" t="inlineStr">
        <is>
          <t>杭 州 中 纺 进 出 口 有 限 公 司</t>
        </is>
      </c>
      <c r="J1" s="8" t="inlineStr"/>
      <c r="K1" s="8" t="inlineStr"/>
    </row>
    <row r="2" ht="20.25" customHeight="1">
      <c r="A2" s="52" t="inlineStr">
        <is>
          <t>HANGZHOU ZHONGFANG TEXTILE IMP./EXP. CO., LTD.</t>
        </is>
      </c>
      <c r="J2" s="8" t="inlineStr"/>
      <c r="K2" s="8" t="inlineStr"/>
    </row>
    <row r="3" ht="28.5" customHeight="1">
      <c r="A3" s="54" t="inlineStr">
        <is>
          <t>NO.756-2,RENMIN AVENUE,NANYUAN STREET, LINPING DISTRICT,HANGZHOU, ZHEJIANG PROVINCE CHINA, tel: +86-571-86255881, E-mail: liuzhihui@zhongfanghz.cn</t>
        </is>
      </c>
      <c r="J3" s="8" t="n"/>
      <c r="K3" s="8" t="n"/>
    </row>
    <row r="4" ht="20.25" customHeight="1">
      <c r="A4" s="52" t="n"/>
      <c r="D4" s="55" t="inlineStr">
        <is>
          <t xml:space="preserve">www.zhongfanghz.cn </t>
        </is>
      </c>
      <c r="J4" s="8" t="n"/>
      <c r="K4" s="8" t="n"/>
    </row>
    <row r="5" ht="10.5" customHeight="1">
      <c r="A5" s="52" t="inlineStr"/>
      <c r="B5" s="52" t="inlineStr"/>
      <c r="C5" s="52" t="inlineStr"/>
      <c r="D5" s="52" t="inlineStr"/>
      <c r="E5" s="5" t="inlineStr"/>
      <c r="F5" s="6" t="inlineStr"/>
      <c r="G5" s="52" t="inlineStr"/>
      <c r="H5" s="52" t="inlineStr"/>
      <c r="I5" s="52" t="inlineStr"/>
      <c r="J5" s="8" t="inlineStr"/>
      <c r="K5" s="8" t="inlineStr"/>
    </row>
    <row r="6" ht="30" customHeight="1">
      <c r="A6" s="53" t="inlineStr">
        <is>
          <t xml:space="preserve"> INVOICE</t>
        </is>
      </c>
      <c r="J6" s="8" t="inlineStr"/>
      <c r="K6" s="8" t="inlineStr"/>
    </row>
    <row r="7" ht="13.5" customHeight="1">
      <c r="A7" s="9" t="n"/>
      <c r="J7" s="8" t="n"/>
      <c r="K7" s="8" t="n"/>
    </row>
    <row r="8" ht="13.5" customHeight="1">
      <c r="A8" s="57" t="inlineStr">
        <is>
          <t>Contract №：SM-LU2 dated 23.11.2018</t>
        </is>
      </c>
      <c r="J8" s="8" t="n"/>
      <c r="K8" s="8" t="n"/>
    </row>
    <row r="9" ht="13.5" customHeight="1">
      <c r="A9" s="57" t="inlineStr">
        <is>
          <t>Buyer:</t>
        </is>
      </c>
      <c r="F9" s="58" t="inlineStr">
        <is>
          <t>Seller:</t>
        </is>
      </c>
      <c r="J9" s="8" t="n"/>
      <c r="K9" s="8" t="n"/>
    </row>
    <row r="10" ht="13.5" customHeight="1">
      <c r="A10" s="60" t="inlineStr">
        <is>
          <t>“SM REGIONTEKSTIL'” LLC</t>
        </is>
      </c>
      <c r="F10" s="59" t="inlineStr">
        <is>
          <t>HANGZHOU ZHONGFANG TEXTILE IMP./EXP. CO., LTD.</t>
        </is>
      </c>
      <c r="J10" s="8" t="n"/>
      <c r="K10" s="8" t="n"/>
    </row>
    <row r="11" ht="13.5" customHeight="1">
      <c r="A11" s="57" t="inlineStr">
        <is>
          <t>Address:</t>
        </is>
      </c>
      <c r="F11" s="58" t="inlineStr">
        <is>
          <t>Address:</t>
        </is>
      </c>
      <c r="H11" s="11" t="n"/>
      <c r="I11" s="11" t="n"/>
      <c r="J11" s="8" t="n"/>
      <c r="K11" s="8" t="n"/>
    </row>
    <row r="12" ht="69.75" customHeight="1">
      <c r="A12" s="62" t="inlineStr">
        <is>
          <t>143421 Moscow region, city of Krasnogorsk, 21st kilometer of Baltiya highway, comp. 2, bld. 1, prem. 1     OGRN 1175024014472      TIN 5032281280      KPP 502401001</t>
        </is>
      </c>
      <c r="F12" s="61" t="inlineStr">
        <is>
          <t>NO.756-2,RENMIN AVENUE,NANYUAN STREET, LINPING DISTRICT,HANGZHOU, ZHEJIANG PROVINCE CHINA, tel: +86-571-86255881, E-mail: liuzhihui@zhongfanghz.cn</t>
        </is>
      </c>
      <c r="J12" s="8" t="n"/>
      <c r="K12" s="8" t="n"/>
    </row>
    <row r="13" ht="13.5" customHeight="1">
      <c r="A13" s="9" t="n"/>
      <c r="F13" s="58" t="inlineStr">
        <is>
          <t>Warehouse address:</t>
        </is>
      </c>
      <c r="H13" s="11" t="n"/>
      <c r="I13" s="11" t="n"/>
      <c r="J13" s="8" t="n"/>
      <c r="K13" s="8" t="n"/>
    </row>
    <row r="14" ht="65.25" customHeight="1">
      <c r="A14" s="9" t="n"/>
      <c r="F14" s="61" t="inlineStr">
        <is>
          <t>West 1/F Bld 3, No. 503 Shunfeng Road, Qianjiang Economic Development Zone, Yuhang District, Hangzhou, Zhejiang Province, China
Phone: +86-571-86255881</t>
        </is>
      </c>
      <c r="J14" s="8" t="n"/>
      <c r="K14" s="8" t="n"/>
    </row>
    <row r="15" ht="13.5" customHeight="1">
      <c r="A15" s="60" t="inlineStr">
        <is>
          <t>Terms of payment: 100% payment during 120 days after shipment.</t>
        </is>
      </c>
      <c r="B15" s="13" t="n"/>
      <c r="C15" s="13" t="n"/>
      <c r="D15" s="13" t="n"/>
      <c r="E15" s="14" t="n"/>
      <c r="F15" s="10" t="n"/>
      <c r="G15" s="11" t="n"/>
      <c r="H15" s="11" t="n"/>
      <c r="I15" s="11" t="n"/>
      <c r="J15" s="8" t="n"/>
      <c r="K15" s="8" t="n"/>
    </row>
    <row r="16" ht="13.5" customHeight="1">
      <c r="A16" s="60" t="inlineStr">
        <is>
          <t>Terms of delivery: EXW Hangzhou, China</t>
        </is>
      </c>
      <c r="B16" s="13" t="n"/>
      <c r="C16" s="13" t="n"/>
      <c r="D16" s="13" t="n"/>
      <c r="E16" s="14" t="n"/>
      <c r="F16" s="10" t="n"/>
      <c r="G16" s="11" t="n"/>
      <c r="H16" s="11" t="n"/>
      <c r="I16" s="11" t="n"/>
      <c r="J16" s="8" t="n"/>
      <c r="K16" s="8" t="n"/>
    </row>
    <row r="17" ht="18" customHeight="1">
      <c r="A17" s="16" t="inlineStr">
        <is>
          <t>Delivery date: not later than 19.09.26</t>
        </is>
      </c>
      <c r="B17" s="13" t="n"/>
      <c r="C17" s="13" t="n"/>
      <c r="D17" s="13" t="n"/>
      <c r="E17" s="14" t="n"/>
      <c r="F17" s="10" t="n"/>
      <c r="G17" s="11" t="n"/>
      <c r="H17" s="11" t="n"/>
      <c r="I17" s="11" t="n"/>
      <c r="J17" s="8" t="n"/>
      <c r="K17" s="8" t="n"/>
    </row>
    <row r="18" ht="15.75" customHeight="1">
      <c r="A18" s="60" t="inlineStr">
        <is>
          <t>Manufacturer: HANGZHOU ZHONGFANG TEXTILE IMP./EXP. CO., LTD.</t>
        </is>
      </c>
      <c r="B18" s="13" t="n"/>
      <c r="C18" s="13" t="n"/>
      <c r="D18" s="13" t="n"/>
      <c r="E18" s="14" t="n"/>
      <c r="F18" s="10" t="n"/>
      <c r="G18" s="11" t="n"/>
      <c r="H18" s="11" t="n"/>
      <c r="I18" s="11" t="n"/>
      <c r="J18" s="8" t="n"/>
      <c r="K18" s="8" t="n"/>
    </row>
    <row r="19" ht="16.5" customHeight="1">
      <c r="A19" s="9" t="n"/>
      <c r="F19" s="10" t="n"/>
      <c r="G19" s="11" t="n"/>
      <c r="H19" s="11" t="n"/>
      <c r="I19" s="11" t="n"/>
      <c r="J19" s="8" t="n"/>
      <c r="K19" s="8" t="n"/>
    </row>
    <row r="20" ht="17.25" customHeight="1">
      <c r="A20" s="60">
        <f>CONCATENATE("SPECIFICATION № ",J21," ",J22)</f>
        <v/>
      </c>
      <c r="F20" s="10" t="n"/>
      <c r="G20" s="11" t="n"/>
      <c r="H20" s="11" t="n"/>
      <c r="I20" s="11" t="n"/>
      <c r="J20" s="8" t="n"/>
      <c r="K20" s="8" t="n"/>
    </row>
    <row r="21" ht="23.2" customHeight="1">
      <c r="A21" s="63" t="inlineStr">
        <is>
          <t>EX-WORK HANGZHOU</t>
        </is>
      </c>
      <c r="D21" s="19" t="inlineStr"/>
      <c r="E21" s="19" t="inlineStr"/>
      <c r="F21" s="19" t="inlineStr"/>
      <c r="G21" s="19" t="inlineStr"/>
      <c r="H21" s="19" t="inlineStr"/>
      <c r="I21" s="20" t="inlineStr">
        <is>
          <t>INV.NO.</t>
        </is>
      </c>
      <c r="J21" s="21" t="inlineStr">
        <is>
          <t>ZFRMB26148-626-1</t>
        </is>
      </c>
      <c r="K21" s="8" t="n"/>
      <c r="L21" s="8" t="inlineStr"/>
    </row>
    <row r="22" ht="23.2" customHeight="1">
      <c r="A22" s="65" t="inlineStr">
        <is>
          <t>Contract No SM-LU2 dd 23/11/2018</t>
        </is>
      </c>
      <c r="D22" s="7" t="inlineStr"/>
      <c r="E22" s="23" t="inlineStr"/>
      <c r="F22" s="23" t="inlineStr"/>
      <c r="G22" s="7" t="inlineStr"/>
      <c r="H22" s="7" t="inlineStr"/>
      <c r="I22" s="20" t="inlineStr">
        <is>
          <t>DATE:</t>
        </is>
      </c>
      <c r="J22" s="21" t="inlineStr">
        <is>
          <t>Aug.19,2026</t>
        </is>
      </c>
      <c r="K22" s="8" t="n"/>
      <c r="L22" s="8" t="inlineStr"/>
    </row>
    <row r="23" ht="18" customHeight="1">
      <c r="A23" s="65" t="inlineStr"/>
      <c r="B23" s="65" t="inlineStr"/>
      <c r="C23" s="8" t="inlineStr"/>
      <c r="D23" s="8" t="inlineStr"/>
      <c r="E23" s="24" t="inlineStr"/>
      <c r="F23" s="24" t="inlineStr"/>
      <c r="G23" s="8" t="inlineStr"/>
      <c r="H23" s="8" t="inlineStr"/>
      <c r="I23" s="25" t="inlineStr"/>
      <c r="J23" s="25" t="inlineStr"/>
      <c r="K23" s="8" t="n"/>
      <c r="L23" s="8" t="inlineStr"/>
    </row>
    <row r="24" ht="13.9" customHeight="1">
      <c r="A24" s="26" t="inlineStr">
        <is>
          <t>NO.</t>
        </is>
      </c>
      <c r="B24" s="26" t="inlineStr">
        <is>
          <t>DESIGN</t>
        </is>
      </c>
      <c r="C24" s="26" t="inlineStr">
        <is>
          <t>H.S. CODE</t>
        </is>
      </c>
      <c r="D24" s="27" t="inlineStr">
        <is>
          <t>ROLLS</t>
        </is>
      </c>
      <c r="E24" s="27" t="inlineStr">
        <is>
          <t>WIDTH M</t>
        </is>
      </c>
      <c r="F24" s="27" t="inlineStr">
        <is>
          <t>TOTAL M2</t>
        </is>
      </c>
      <c r="G24" s="27" t="inlineStr">
        <is>
          <t>METERS</t>
        </is>
      </c>
      <c r="H24" s="27" t="inlineStr">
        <is>
          <t>UNIT MT/PIECE</t>
        </is>
      </c>
      <c r="I24" s="27" t="inlineStr">
        <is>
          <t>UNIT PRICE(RMB)</t>
        </is>
      </c>
      <c r="J24" s="28" t="inlineStr">
        <is>
          <t>AMOUNT(RMB)</t>
        </is>
      </c>
      <c r="K24" s="29" t="n"/>
      <c r="L24" s="29" t="inlineStr"/>
    </row>
    <row r="25" ht="18" customHeight="1">
      <c r="A25" s="31" t="n">
        <v>1</v>
      </c>
      <c r="B25" s="31" t="inlineStr">
        <is>
          <t>Melange 928</t>
        </is>
      </c>
      <c r="C25" s="31" t="inlineStr">
        <is>
          <t>5407530000</t>
        </is>
      </c>
      <c r="D25" s="32" t="n">
        <v>8</v>
      </c>
      <c r="E25" s="33" t="n">
        <v>1.41</v>
      </c>
      <c r="F25" s="34" t="n">
        <v>427.089</v>
      </c>
      <c r="G25" s="33" t="n">
        <v>302.9</v>
      </c>
      <c r="H25" s="32" t="inlineStr">
        <is>
          <t>meters</t>
        </is>
      </c>
      <c r="I25" s="33" t="n"/>
      <c r="J25" s="33" t="n"/>
      <c r="K25" s="64" t="n"/>
      <c r="L25" s="64" t="n"/>
    </row>
    <row r="26" ht="18" customHeight="1">
      <c r="A26" s="35" t="n"/>
      <c r="B26" s="36" t="inlineStr">
        <is>
          <t>SOFA FABRIC
Melange</t>
        </is>
      </c>
      <c r="C26" s="35" t="inlineStr">
        <is>
          <t>5407530000</t>
        </is>
      </c>
      <c r="D26" s="35" t="n">
        <v>8</v>
      </c>
      <c r="E26" s="37" t="n">
        <v>1.41</v>
      </c>
      <c r="F26" s="38" t="n">
        <v>427.089</v>
      </c>
      <c r="G26" s="37" t="n">
        <v>302.9</v>
      </c>
      <c r="H26" s="35" t="inlineStr">
        <is>
          <t>meters</t>
        </is>
      </c>
      <c r="I26" s="37" t="n">
        <v>22.5</v>
      </c>
      <c r="J26" s="37" t="n">
        <v>6815.25</v>
      </c>
      <c r="K26" s="64" t="n"/>
      <c r="L26" s="64" t="n"/>
    </row>
    <row r="27" ht="14.25" customHeight="1">
      <c r="A27" s="31" t="n">
        <v>2</v>
      </c>
      <c r="B27" s="31" t="inlineStr">
        <is>
          <t>Noble 110</t>
        </is>
      </c>
      <c r="C27" s="31" t="inlineStr">
        <is>
          <t>5407610000</t>
        </is>
      </c>
      <c r="D27" s="32" t="n">
        <v>15</v>
      </c>
      <c r="E27" s="33" t="n">
        <v>1.42</v>
      </c>
      <c r="F27" s="34" t="n">
        <v>868.33</v>
      </c>
      <c r="G27" s="33" t="n">
        <v>611.5</v>
      </c>
      <c r="H27" s="32" t="inlineStr">
        <is>
          <t>meters</t>
        </is>
      </c>
      <c r="I27" s="33" t="n"/>
      <c r="J27" s="33" t="n"/>
      <c r="K27" s="64" t="n"/>
      <c r="L27" s="64" t="n"/>
    </row>
    <row r="28" ht="18" customHeight="1">
      <c r="A28" s="31" t="n">
        <v>3</v>
      </c>
      <c r="B28" s="31" t="inlineStr">
        <is>
          <t>Noble 624</t>
        </is>
      </c>
      <c r="C28" s="31" t="inlineStr">
        <is>
          <t>5407610000</t>
        </is>
      </c>
      <c r="D28" s="32" t="n">
        <v>12</v>
      </c>
      <c r="E28" s="33" t="n">
        <v>1.42</v>
      </c>
      <c r="F28" s="34" t="n">
        <v>719.9400000000001</v>
      </c>
      <c r="G28" s="33" t="n">
        <v>507</v>
      </c>
      <c r="H28" s="32" t="inlineStr">
        <is>
          <t>meters</t>
        </is>
      </c>
      <c r="I28" s="33" t="n"/>
      <c r="J28" s="33" t="n"/>
      <c r="K28" s="64" t="n"/>
      <c r="L28" s="64" t="n"/>
    </row>
    <row r="29" ht="18" customHeight="1">
      <c r="A29" s="35" t="n"/>
      <c r="B29" s="36" t="inlineStr">
        <is>
          <t>SOFA FABRIC
Noble</t>
        </is>
      </c>
      <c r="C29" s="35" t="inlineStr">
        <is>
          <t>5407610000</t>
        </is>
      </c>
      <c r="D29" s="35" t="n">
        <v>27</v>
      </c>
      <c r="E29" s="37" t="n">
        <v>1.42</v>
      </c>
      <c r="F29" s="38" t="n">
        <v>1588.27</v>
      </c>
      <c r="G29" s="37" t="n">
        <v>1118.5</v>
      </c>
      <c r="H29" s="35" t="inlineStr">
        <is>
          <t>meters</t>
        </is>
      </c>
      <c r="I29" s="37" t="n">
        <v>43.8</v>
      </c>
      <c r="J29" s="37" t="n">
        <v>48990.3</v>
      </c>
      <c r="K29" s="64" t="n"/>
      <c r="L29" s="64" t="n"/>
    </row>
    <row r="30" ht="14.25" customHeight="1">
      <c r="A30" s="31" t="n">
        <v>4</v>
      </c>
      <c r="B30" s="31" t="inlineStr">
        <is>
          <t>Omega 03</t>
        </is>
      </c>
      <c r="C30" s="31" t="inlineStr">
        <is>
          <t>5407610000</t>
        </is>
      </c>
      <c r="D30" s="32" t="n">
        <v>81</v>
      </c>
      <c r="E30" s="33" t="n">
        <v>1.44</v>
      </c>
      <c r="F30" s="34" t="n">
        <v>5346.576</v>
      </c>
      <c r="G30" s="33" t="n">
        <v>3712.9</v>
      </c>
      <c r="H30" s="32" t="inlineStr">
        <is>
          <t>meters</t>
        </is>
      </c>
      <c r="I30" s="33" t="n"/>
      <c r="J30" s="33" t="n"/>
      <c r="K30" s="64" t="n"/>
      <c r="L30" s="64" t="n"/>
    </row>
    <row r="31" ht="18" customHeight="1">
      <c r="A31" s="31" t="n">
        <v>5</v>
      </c>
      <c r="B31" s="31" t="inlineStr">
        <is>
          <t>Omega 62</t>
        </is>
      </c>
      <c r="C31" s="31" t="inlineStr">
        <is>
          <t>5407610000</t>
        </is>
      </c>
      <c r="D31" s="32" t="n">
        <v>35</v>
      </c>
      <c r="E31" s="33" t="n">
        <v>1.44</v>
      </c>
      <c r="F31" s="34" t="n">
        <v>2347.2</v>
      </c>
      <c r="G31" s="33" t="n">
        <v>1630</v>
      </c>
      <c r="H31" s="32" t="inlineStr">
        <is>
          <t>meters</t>
        </is>
      </c>
      <c r="I31" s="33" t="n"/>
      <c r="J31" s="33" t="n"/>
      <c r="K31" s="64" t="n"/>
      <c r="L31" s="64" t="n"/>
    </row>
    <row r="32" ht="26.25" customHeight="1">
      <c r="A32" s="35" t="n"/>
      <c r="B32" s="36" t="inlineStr">
        <is>
          <t>SOFA FABRIC
Omega</t>
        </is>
      </c>
      <c r="C32" s="35" t="inlineStr">
        <is>
          <t>5407610000</t>
        </is>
      </c>
      <c r="D32" s="35" t="n">
        <v>116</v>
      </c>
      <c r="E32" s="37" t="n">
        <v>1.44</v>
      </c>
      <c r="F32" s="38" t="n">
        <v>7693.776</v>
      </c>
      <c r="G32" s="37" t="n">
        <v>5342.9</v>
      </c>
      <c r="H32" s="35" t="inlineStr">
        <is>
          <t>meters</t>
        </is>
      </c>
      <c r="I32" s="37" t="n">
        <v>9.5</v>
      </c>
      <c r="J32" s="37" t="n">
        <v>50757.55</v>
      </c>
      <c r="K32" s="64" t="n"/>
      <c r="L32" s="64" t="n"/>
    </row>
    <row r="33" ht="18" customHeight="1">
      <c r="A33" s="31" t="n">
        <v>6</v>
      </c>
      <c r="B33" s="31" t="inlineStr">
        <is>
          <t>Solo 794</t>
        </is>
      </c>
      <c r="C33" s="31" t="inlineStr">
        <is>
          <t>5407610000</t>
        </is>
      </c>
      <c r="D33" s="32" t="n">
        <v>6</v>
      </c>
      <c r="E33" s="33" t="n">
        <v>1.48</v>
      </c>
      <c r="F33" s="34" t="n">
        <v>448.292</v>
      </c>
      <c r="G33" s="33" t="n">
        <v>302.9</v>
      </c>
      <c r="H33" s="32" t="inlineStr">
        <is>
          <t>meters</t>
        </is>
      </c>
      <c r="I33" s="33" t="n"/>
      <c r="J33" s="33" t="n"/>
      <c r="K33" s="64" t="n"/>
      <c r="L33" s="64" t="n"/>
    </row>
    <row r="34" ht="18" customHeight="1">
      <c r="A34" s="31" t="n">
        <v>7</v>
      </c>
      <c r="B34" s="31" t="inlineStr">
        <is>
          <t>Solo 992</t>
        </is>
      </c>
      <c r="C34" s="31" t="inlineStr">
        <is>
          <t>5407610000</t>
        </is>
      </c>
      <c r="D34" s="32" t="n">
        <v>7</v>
      </c>
      <c r="E34" s="33" t="n">
        <v>1.48</v>
      </c>
      <c r="F34" s="34" t="n">
        <v>509.268</v>
      </c>
      <c r="G34" s="33" t="n">
        <v>344.1</v>
      </c>
      <c r="H34" s="32" t="inlineStr">
        <is>
          <t>meters</t>
        </is>
      </c>
      <c r="I34" s="33" t="n"/>
      <c r="J34" s="33" t="n"/>
      <c r="K34" s="64" t="n"/>
      <c r="L34" s="64" t="n"/>
    </row>
    <row r="35" ht="18" customHeight="1">
      <c r="A35" s="35" t="n"/>
      <c r="B35" s="36" t="inlineStr">
        <is>
          <t>SOFA FABRIC
Solo</t>
        </is>
      </c>
      <c r="C35" s="35" t="inlineStr">
        <is>
          <t>5407610000</t>
        </is>
      </c>
      <c r="D35" s="35" t="n">
        <v>13</v>
      </c>
      <c r="E35" s="37" t="n">
        <v>1.48</v>
      </c>
      <c r="F35" s="38" t="n">
        <v>957.5599999999999</v>
      </c>
      <c r="G35" s="37" t="n">
        <v>647</v>
      </c>
      <c r="H35" s="35" t="inlineStr">
        <is>
          <t>meters</t>
        </is>
      </c>
      <c r="I35" s="37" t="n">
        <v>19</v>
      </c>
      <c r="J35" s="37" t="n">
        <v>12293</v>
      </c>
      <c r="K35" s="64" t="n"/>
      <c r="L35" s="64" t="n"/>
    </row>
    <row r="36" ht="18" customHeight="1">
      <c r="A36" s="31" t="n">
        <v>8</v>
      </c>
      <c r="B36" s="31" t="inlineStr">
        <is>
          <t>Danco 100</t>
        </is>
      </c>
      <c r="C36" s="31" t="inlineStr">
        <is>
          <t>5801330000</t>
        </is>
      </c>
      <c r="D36" s="32" t="n">
        <v>26</v>
      </c>
      <c r="E36" s="33" t="n">
        <v>1.42</v>
      </c>
      <c r="F36" s="34" t="n">
        <v>1801.27</v>
      </c>
      <c r="G36" s="33" t="n">
        <v>1268.5</v>
      </c>
      <c r="H36" s="32" t="inlineStr">
        <is>
          <t>meters</t>
        </is>
      </c>
      <c r="I36" s="33" t="n"/>
      <c r="J36" s="33" t="n"/>
      <c r="K36" s="64" t="n"/>
      <c r="L36" s="64" t="n"/>
    </row>
    <row r="37" ht="18" customHeight="1">
      <c r="A37" s="31" t="n">
        <v>9</v>
      </c>
      <c r="B37" s="31" t="inlineStr">
        <is>
          <t>Danco 297</t>
        </is>
      </c>
      <c r="C37" s="31" t="inlineStr">
        <is>
          <t>5801330000</t>
        </is>
      </c>
      <c r="D37" s="32" t="n">
        <v>11</v>
      </c>
      <c r="E37" s="33" t="n">
        <v>1.42</v>
      </c>
      <c r="F37" s="34" t="n">
        <v>760.694</v>
      </c>
      <c r="G37" s="33" t="n">
        <v>535.7</v>
      </c>
      <c r="H37" s="32" t="inlineStr">
        <is>
          <t>meters</t>
        </is>
      </c>
      <c r="I37" s="33" t="n"/>
      <c r="J37" s="33" t="n"/>
      <c r="K37" s="64" t="n"/>
      <c r="L37" s="64" t="n"/>
    </row>
    <row r="38" ht="18" customHeight="1">
      <c r="A38" s="35" t="n"/>
      <c r="B38" s="36" t="inlineStr">
        <is>
          <t>SOFA FABRIC
Danco</t>
        </is>
      </c>
      <c r="C38" s="35" t="inlineStr">
        <is>
          <t>5801330000</t>
        </is>
      </c>
      <c r="D38" s="35" t="n">
        <v>37</v>
      </c>
      <c r="E38" s="37" t="n">
        <v>1.42</v>
      </c>
      <c r="F38" s="38" t="n">
        <v>2561.964</v>
      </c>
      <c r="G38" s="37" t="n">
        <v>1804.2</v>
      </c>
      <c r="H38" s="35" t="inlineStr">
        <is>
          <t>meters</t>
        </is>
      </c>
      <c r="I38" s="37" t="n">
        <v>12.1</v>
      </c>
      <c r="J38" s="37" t="n">
        <v>21830.82</v>
      </c>
      <c r="K38" s="64" t="n"/>
      <c r="L38" s="64" t="n"/>
    </row>
    <row r="39" ht="18" customHeight="1">
      <c r="A39" s="31" t="n">
        <v>10</v>
      </c>
      <c r="B39" s="31" t="inlineStr">
        <is>
          <t>Oscar 978</t>
        </is>
      </c>
      <c r="C39" s="31" t="inlineStr">
        <is>
          <t>5801360000</t>
        </is>
      </c>
      <c r="D39" s="32" t="n">
        <v>7</v>
      </c>
      <c r="E39" s="33" t="n">
        <v>1.43</v>
      </c>
      <c r="F39" s="34" t="n">
        <v>441.584</v>
      </c>
      <c r="G39" s="33" t="n">
        <v>308.8</v>
      </c>
      <c r="H39" s="32" t="inlineStr">
        <is>
          <t>meters</t>
        </is>
      </c>
      <c r="I39" s="33" t="n"/>
      <c r="J39" s="33" t="n"/>
      <c r="K39" s="64" t="n"/>
      <c r="L39" s="64" t="n"/>
    </row>
    <row r="40" ht="18" customHeight="1">
      <c r="A40" s="35" t="n"/>
      <c r="B40" s="36" t="inlineStr">
        <is>
          <t>SOFA FABRIC
Oscar</t>
        </is>
      </c>
      <c r="C40" s="35" t="inlineStr">
        <is>
          <t>5801360000</t>
        </is>
      </c>
      <c r="D40" s="35" t="n">
        <v>7</v>
      </c>
      <c r="E40" s="37" t="n">
        <v>1.43</v>
      </c>
      <c r="F40" s="38" t="n">
        <v>441.584</v>
      </c>
      <c r="G40" s="37" t="n">
        <v>308.8</v>
      </c>
      <c r="H40" s="35" t="inlineStr">
        <is>
          <t>meters</t>
        </is>
      </c>
      <c r="I40" s="37" t="n">
        <v>22.9</v>
      </c>
      <c r="J40" s="37" t="n">
        <v>7071.52</v>
      </c>
      <c r="K40" s="64" t="n"/>
      <c r="L40" s="64" t="n"/>
    </row>
    <row r="41" ht="14.25" customHeight="1">
      <c r="A41" s="31" t="n">
        <v>11</v>
      </c>
      <c r="B41" s="31" t="inlineStr">
        <is>
          <t>Umbra 110</t>
        </is>
      </c>
      <c r="C41" s="31" t="inlineStr">
        <is>
          <t>5801360000</t>
        </is>
      </c>
      <c r="D41" s="32" t="n">
        <v>28</v>
      </c>
      <c r="E41" s="33" t="n">
        <v>1.42</v>
      </c>
      <c r="F41" s="34" t="n">
        <v>1422.272</v>
      </c>
      <c r="G41" s="33" t="n">
        <v>1001.6</v>
      </c>
      <c r="H41" s="32" t="inlineStr">
        <is>
          <t>meters</t>
        </is>
      </c>
      <c r="I41" s="33" t="n"/>
      <c r="J41" s="33" t="n"/>
      <c r="K41" s="64" t="n"/>
      <c r="L41" s="64" t="n"/>
    </row>
    <row r="42" ht="18" customHeight="1">
      <c r="A42" s="35" t="n"/>
      <c r="B42" s="36" t="inlineStr">
        <is>
          <t>SOFA FABRIC
Umbra</t>
        </is>
      </c>
      <c r="C42" s="35" t="inlineStr">
        <is>
          <t>5801360000</t>
        </is>
      </c>
      <c r="D42" s="35" t="n">
        <v>28</v>
      </c>
      <c r="E42" s="37" t="n">
        <v>1.42</v>
      </c>
      <c r="F42" s="38" t="n">
        <v>1422.272</v>
      </c>
      <c r="G42" s="37" t="n">
        <v>1001.6</v>
      </c>
      <c r="H42" s="35" t="inlineStr">
        <is>
          <t>meters</t>
        </is>
      </c>
      <c r="I42" s="37" t="n">
        <v>12.4</v>
      </c>
      <c r="J42" s="37" t="n">
        <v>12419.84</v>
      </c>
      <c r="K42" s="64" t="n"/>
      <c r="L42" s="64" t="n"/>
    </row>
    <row r="43" ht="14.25" customHeight="1">
      <c r="A43" s="31" t="n">
        <v>12</v>
      </c>
      <c r="B43" s="31" t="inlineStr">
        <is>
          <t>Lambre 402</t>
        </is>
      </c>
      <c r="C43" s="31" t="inlineStr">
        <is>
          <t>6001920000</t>
        </is>
      </c>
      <c r="D43" s="32" t="n">
        <v>10</v>
      </c>
      <c r="E43" s="33" t="n">
        <v>1.42</v>
      </c>
      <c r="F43" s="34" t="n">
        <v>600.944</v>
      </c>
      <c r="G43" s="33" t="n">
        <v>423.2</v>
      </c>
      <c r="H43" s="32" t="inlineStr">
        <is>
          <t>meters</t>
        </is>
      </c>
      <c r="I43" s="33" t="n"/>
      <c r="J43" s="33" t="n"/>
      <c r="K43" s="64" t="n"/>
      <c r="L43" s="64" t="n"/>
    </row>
    <row r="44" ht="18" customHeight="1">
      <c r="A44" s="31" t="n">
        <v>13</v>
      </c>
      <c r="B44" s="31" t="inlineStr">
        <is>
          <t>Lambre 740</t>
        </is>
      </c>
      <c r="C44" s="31" t="inlineStr">
        <is>
          <t>6001920000</t>
        </is>
      </c>
      <c r="D44" s="32" t="n">
        <v>17</v>
      </c>
      <c r="E44" s="33" t="n">
        <v>1.42</v>
      </c>
      <c r="F44" s="34" t="n">
        <v>1025.95</v>
      </c>
      <c r="G44" s="33" t="n">
        <v>722.5</v>
      </c>
      <c r="H44" s="32" t="inlineStr">
        <is>
          <t>meters</t>
        </is>
      </c>
      <c r="I44" s="33" t="n"/>
      <c r="J44" s="33" t="n"/>
      <c r="K44" s="64" t="n"/>
      <c r="L44" s="64" t="n"/>
    </row>
    <row r="45" ht="26.65" customHeight="1" thickBot="1">
      <c r="A45" s="35" t="n"/>
      <c r="B45" s="36" t="inlineStr">
        <is>
          <t>SOFA FABRIC
Lambre</t>
        </is>
      </c>
      <c r="C45" s="35" t="inlineStr">
        <is>
          <t>6001920000</t>
        </is>
      </c>
      <c r="D45" s="35" t="n">
        <v>27</v>
      </c>
      <c r="E45" s="37" t="n">
        <v>1.42</v>
      </c>
      <c r="F45" s="38" t="n">
        <v>1626.894</v>
      </c>
      <c r="G45" s="37" t="n">
        <v>1145.7</v>
      </c>
      <c r="H45" s="35" t="inlineStr">
        <is>
          <t>meters</t>
        </is>
      </c>
      <c r="I45" s="37" t="n">
        <v>24.6</v>
      </c>
      <c r="J45" s="37" t="n">
        <v>28184.22</v>
      </c>
      <c r="K45" s="64" t="n"/>
      <c r="L45" s="64" t="n"/>
    </row>
    <row r="46" ht="31.5" customHeight="1" thickBot="1">
      <c r="A46" s="39" t="n"/>
      <c r="B46" s="40" t="inlineStr">
        <is>
          <t>TOTAL:</t>
        </is>
      </c>
      <c r="C46" s="41" t="n"/>
      <c r="D46" s="40" t="n">
        <v>263</v>
      </c>
      <c r="E46" s="42" t="n"/>
      <c r="F46" s="43" t="n">
        <v>16719.409</v>
      </c>
      <c r="G46" s="42" t="n">
        <v>11671.6</v>
      </c>
      <c r="H46" s="40" t="n"/>
      <c r="I46" s="42" t="n"/>
      <c r="J46" s="44" t="n">
        <v>188362.5</v>
      </c>
      <c r="K46" s="8" t="n"/>
      <c r="L46" s="8" t="inlineStr"/>
    </row>
    <row r="47"/>
    <row r="48" ht="15.75" customHeight="1">
      <c r="A48" s="15" t="n"/>
      <c r="B48" s="15" t="n"/>
      <c r="D48" s="50" t="n"/>
      <c r="E48" s="51" t="n"/>
      <c r="F48" s="8" t="n"/>
      <c r="G48" s="17" t="n"/>
      <c r="H48" s="17" t="n"/>
      <c r="I48" s="17" t="n"/>
    </row>
    <row r="49" ht="15.4" customHeight="1">
      <c r="A49" s="15" t="n"/>
      <c r="B49" s="15" t="n"/>
      <c r="D49" s="50" t="n"/>
      <c r="E49" s="51" t="n"/>
      <c r="F49" s="49" t="n"/>
      <c r="I49" s="8" t="n"/>
    </row>
    <row r="50" ht="15.75" customHeight="1">
      <c r="A50" s="15" t="n"/>
      <c r="B50" s="15" t="n"/>
      <c r="D50" s="50" t="n"/>
      <c r="E50" s="51" t="n"/>
      <c r="F50" s="8" t="n"/>
      <c r="G50" s="45" t="n"/>
      <c r="J50" s="17" t="n"/>
    </row>
    <row r="51" ht="15.4" customHeight="1">
      <c r="A51" s="46" t="n"/>
      <c r="D51" s="50" t="n"/>
      <c r="E51" s="51" t="n"/>
      <c r="F51" s="47" t="n"/>
      <c r="J51" s="30" t="n"/>
    </row>
    <row r="52">
      <c r="D52" s="50" t="n"/>
      <c r="E52" s="51" t="n"/>
      <c r="F52" s="49" t="n"/>
    </row>
    <row r="53"/>
    <row r="54" ht="15.75" customHeight="1">
      <c r="A54" s="15" t="n"/>
      <c r="B54" s="15" t="n"/>
      <c r="D54" s="50" t="n"/>
      <c r="E54" s="51" t="n"/>
      <c r="F54" s="8" t="n"/>
      <c r="G54" s="17" t="n"/>
      <c r="H54" s="17" t="n"/>
      <c r="I54" s="17" t="n"/>
    </row>
    <row r="55"/>
    <row r="56"/>
    <row r="57"/>
    <row r="58"/>
    <row r="59"/>
    <row r="60"/>
    <row r="61"/>
    <row r="62"/>
    <row r="63"/>
    <row r="64"/>
    <row r="65"/>
  </sheetData>
  <mergeCells count="18">
    <mergeCell ref="F11:G11"/>
    <mergeCell ref="A11:B11"/>
    <mergeCell ref="A3:I3"/>
    <mergeCell ref="A21:C21"/>
    <mergeCell ref="F14:I14"/>
    <mergeCell ref="A2:I2"/>
    <mergeCell ref="A8:C8"/>
    <mergeCell ref="D4:F4"/>
    <mergeCell ref="A22:C22"/>
    <mergeCell ref="F10:I10"/>
    <mergeCell ref="A10:C10"/>
    <mergeCell ref="F12:I12"/>
    <mergeCell ref="F13:G13"/>
    <mergeCell ref="F9:G9"/>
    <mergeCell ref="A12:D12"/>
    <mergeCell ref="A1:I1"/>
    <mergeCell ref="A6:I6"/>
    <mergeCell ref="A9:B9"/>
  </mergeCells>
  <hyperlinks>
    <hyperlink xmlns:r="http://schemas.openxmlformats.org/officeDocument/2006/relationships" ref="D4" r:id="rId1"/>
  </hyperlinks>
  <printOptions horizontalCentered="1"/>
  <pageMargins left="0.25" right="0.25" top="0.75" bottom="0.75" header="0.3" footer="0.3"/>
  <pageSetup orientation="portrait" paperSize="9" scale="90" fitToHeight="0"/>
  <colBreaks count="1" manualBreakCount="1">
    <brk id="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Musolina</dc:creator>
  <dcterms:created xsi:type="dcterms:W3CDTF">2025-02-22T11:24:00Z</dcterms:created>
  <dcterms:modified xsi:type="dcterms:W3CDTF">2026-09-03T11:27:05Z</dcterms:modified>
  <cp:lastModifiedBy>RDZharinovK</cp:lastModifiedBy>
  <cp:lastPrinted>2025-03-25T09:27:03Z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F367DE6355BE4E73BC09EA6FDCFA5130_12</vt:lpwstr>
  </property>
  <property name="KSOProductBuildVer" fmtid="{D5CDD505-2E9C-101B-9397-08002B2CF9AE}" pid="3">
    <vt:lpwstr>2052-12.1.0.20305</vt:lpwstr>
  </property>
</Properties>
</file>