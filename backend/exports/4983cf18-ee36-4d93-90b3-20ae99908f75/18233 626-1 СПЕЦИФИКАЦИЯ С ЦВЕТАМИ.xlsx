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инвойс 1" sheetId="1" state="visible" r:id="rId1"/>
    <sheet name="описание" sheetId="2" state="visible" r:id="rId2"/>
  </sheets>
  <definedNames>
    <definedName name="_xlnm._FilterDatabase" localSheetId="0" hidden="1">'инвойс 1'!$A$22:$GX$49</definedName>
    <definedName name="_xlnm.Print_Area" localSheetId="0">'инвойс 1'!$B$1:$N$80</definedName>
    <definedName name="_xlnm._FilterDatabase" localSheetId="1" hidden="1">'описание'!$A$12:$HE$26</definedName>
    <definedName name="_xlnm.Print_Area" localSheetId="1">'описание'!$A$1:$N$56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0.00_);[Red]\(0.00\)"/>
    <numFmt numFmtId="165" formatCode="0.00_ "/>
    <numFmt numFmtId="166" formatCode="0.000_ "/>
    <numFmt numFmtId="167" formatCode="0.000"/>
    <numFmt numFmtId="168" formatCode="#,##0.00\ _₽"/>
    <numFmt numFmtId="169" formatCode="0.00000"/>
    <numFmt numFmtId="170" formatCode="0.000;[Red]0.000"/>
    <numFmt numFmtId="171" formatCode="#,##0.0000"/>
    <numFmt numFmtId="172" formatCode="0_);[Red]\(0\)"/>
    <numFmt numFmtId="173" formatCode="[DBNum2][$-804]General"/>
  </numFmts>
  <fonts count="51">
    <font>
      <name val="宋体"/>
      <charset val="134"/>
      <sz val="12"/>
    </font>
    <font>
      <name val="Arial"/>
      <family val="2"/>
      <sz val="10"/>
    </font>
    <font>
      <name val="Arial"/>
      <family val="2"/>
      <b val="1"/>
      <sz val="10"/>
    </font>
    <font>
      <name val="宋体"/>
      <charset val="134"/>
      <b val="1"/>
      <sz val="20"/>
    </font>
    <font>
      <name val="宋体"/>
      <charset val="134"/>
      <color indexed="12"/>
      <sz val="12"/>
      <u val="single"/>
    </font>
    <font>
      <name val="Arial Cyr"/>
      <charset val="134"/>
      <sz val="10"/>
    </font>
    <font>
      <name val="宋体"/>
      <charset val="134"/>
      <sz val="12"/>
    </font>
    <font>
      <name val="Arial"/>
      <charset val="134"/>
      <family val="2"/>
      <b val="1"/>
      <sz val="10"/>
    </font>
    <font>
      <name val="Arial"/>
      <charset val="134"/>
      <family val="2"/>
      <sz val="10"/>
    </font>
    <font>
      <name val="Times New Roman"/>
      <charset val="134"/>
      <family val="1"/>
      <sz val="14"/>
    </font>
    <font>
      <name val="Times New Roman"/>
      <charset val="204"/>
      <family val="1"/>
      <sz val="11"/>
    </font>
    <font>
      <name val="Times New Roman"/>
      <charset val="134"/>
      <family val="1"/>
      <b val="1"/>
      <sz val="26"/>
      <u val="single"/>
    </font>
    <font>
      <name val="宋体"/>
      <charset val="134"/>
      <sz val="11"/>
      <u val="single"/>
    </font>
    <font>
      <name val="Arial"/>
      <charset val="204"/>
      <family val="2"/>
      <sz val="11"/>
      <u val="single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</font>
    <font>
      <name val="Times New Roman"/>
      <charset val="134"/>
      <family val="1"/>
      <b val="1"/>
      <sz val="11"/>
    </font>
    <font>
      <name val="宋体"/>
      <charset val="134"/>
      <sz val="24"/>
    </font>
    <font>
      <name val="Arial"/>
      <charset val="204"/>
      <family val="2"/>
      <sz val="24"/>
    </font>
    <font>
      <name val="Arial"/>
      <charset val="204"/>
      <family val="2"/>
      <b val="1"/>
      <sz val="11"/>
    </font>
    <font>
      <name val="Arial"/>
      <charset val="204"/>
      <family val="2"/>
      <sz val="11"/>
    </font>
    <font>
      <name val="Arial"/>
      <charset val="204"/>
      <family val="2"/>
      <sz val="14"/>
    </font>
    <font>
      <name val="Arial"/>
      <charset val="204"/>
      <family val="2"/>
      <b val="1"/>
      <sz val="10"/>
    </font>
    <font>
      <name val="Arial"/>
      <charset val="204"/>
      <family val="2"/>
      <b val="1"/>
      <sz val="10"/>
      <u val="single"/>
    </font>
    <font>
      <name val="Arial"/>
      <charset val="204"/>
      <family val="2"/>
      <sz val="10"/>
    </font>
    <font>
      <name val="SimSun"/>
      <sz val="10"/>
    </font>
    <font>
      <name val="Arial"/>
      <charset val="134"/>
      <family val="2"/>
      <b val="1"/>
      <sz val="9"/>
    </font>
    <font>
      <name val="Arial"/>
      <charset val="134"/>
      <family val="2"/>
      <b val="1"/>
      <sz val="9"/>
      <vertAlign val="superscript"/>
    </font>
    <font>
      <name val="Arial"/>
      <charset val="134"/>
      <family val="2"/>
      <sz val="9"/>
    </font>
    <font>
      <name val="Arial"/>
      <family val="2"/>
      <sz val="9"/>
    </font>
    <font>
      <name val="Arial"/>
      <charset val="204"/>
      <family val="2"/>
      <b val="1"/>
      <sz val="9"/>
    </font>
    <font>
      <name val="Times New Roman"/>
      <charset val="204"/>
      <family val="1"/>
      <sz val="10"/>
    </font>
    <font>
      <name val="Times New Roman"/>
      <charset val="134"/>
      <family val="1"/>
      <b val="1"/>
      <sz val="18"/>
      <u val="single"/>
    </font>
    <font>
      <name val="Arial"/>
      <family val="2"/>
      <sz val="8"/>
    </font>
    <font>
      <name val="Times New Roman"/>
      <charset val="204"/>
      <family val="1"/>
      <sz val="10"/>
    </font>
    <font>
      <name val="宋体"/>
      <charset val="134"/>
      <color theme="1"/>
      <sz val="11"/>
    </font>
    <font>
      <name val="宋体"/>
      <family val="2"/>
      <color theme="1"/>
      <sz val="11"/>
    </font>
    <font>
      <name val="宋体"/>
      <charset val="134"/>
      <family val="3"/>
      <color theme="1"/>
      <sz val="11"/>
    </font>
    <font>
      <name val="宋体"/>
      <charset val="134"/>
      <color theme="10"/>
      <sz val="11"/>
      <u val="single"/>
    </font>
    <font>
      <name val="Calibri"/>
      <charset val="204"/>
      <family val="2"/>
      <color rgb="FF0000FF"/>
      <sz val="11"/>
      <u val="single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rgb="FF333333"/>
      <sz val="9"/>
    </font>
    <font>
      <name val="Times New Roman"/>
      <charset val="204"/>
      <family val="1"/>
      <color rgb="FF000000"/>
      <sz val="9"/>
    </font>
    <font>
      <name val="Times New Roman"/>
      <charset val="204"/>
      <family val="1"/>
      <color rgb="FF000000"/>
      <sz val="12"/>
    </font>
    <font>
      <name val="Calibri"/>
      <charset val="204"/>
      <family val="2"/>
      <color indexed="63"/>
      <sz val="8"/>
      <scheme val="minor"/>
    </font>
    <font>
      <name val="Calibri"/>
      <charset val="204"/>
      <family val="2"/>
      <color theme="1"/>
      <sz val="8"/>
      <scheme val="minor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sz val="10"/>
    </font>
    <font>
      <name val="Times New Roman"/>
      <charset val="134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2">
    <xf numFmtId="0" fontId="6" fillId="0" borderId="0"/>
    <xf numFmtId="0" fontId="1" fillId="0" borderId="0"/>
    <xf numFmtId="0" fontId="35" fillId="0" borderId="0"/>
    <xf numFmtId="0" fontId="36" fillId="0" borderId="0"/>
    <xf numFmtId="0" fontId="35" fillId="0" borderId="0"/>
    <xf numFmtId="0" fontId="37" fillId="0" borderId="0"/>
    <xf numFmtId="0" fontId="35" fillId="0" borderId="0"/>
    <xf numFmtId="0" fontId="4" fillId="0" borderId="0" applyAlignment="1" applyProtection="1">
      <alignment vertical="top"/>
      <protection locked="0" hidden="0"/>
    </xf>
    <xf numFmtId="0" fontId="38" fillId="0" borderId="0" applyAlignment="1" applyProtection="1">
      <alignment vertical="top"/>
      <protection locked="0" hidden="0"/>
    </xf>
    <xf numFmtId="0" fontId="39" fillId="0" borderId="0" applyAlignment="1">
      <alignment vertical="center"/>
    </xf>
    <xf numFmtId="0" fontId="5" fillId="0" borderId="0"/>
    <xf numFmtId="0" fontId="35" fillId="0" borderId="0"/>
    <xf numFmtId="0" fontId="36" fillId="0" borderId="0"/>
    <xf numFmtId="0" fontId="35" fillId="0" borderId="0" applyAlignment="1">
      <alignment vertical="center"/>
    </xf>
    <xf numFmtId="0" fontId="35" fillId="0" borderId="0"/>
    <xf numFmtId="0" fontId="40" fillId="0" borderId="0"/>
    <xf numFmtId="173" fontId="6" fillId="0" borderId="0" applyAlignment="1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10" fillId="0" borderId="0" applyAlignment="1" pivotButton="0" quotePrefix="0" xfId="3">
      <alignment horizontal="center" vertical="center" wrapText="1"/>
    </xf>
    <xf numFmtId="0" fontId="11" fillId="0" borderId="0" applyAlignment="1" pivotButton="0" quotePrefix="0" xfId="0">
      <alignment horizontal="center" wrapText="1"/>
    </xf>
    <xf numFmtId="0" fontId="0" fillId="0" borderId="0" pivotButton="0" quotePrefix="0" xfId="0"/>
    <xf numFmtId="0" fontId="12" fillId="0" borderId="0" applyAlignment="1" pivotButton="0" quotePrefix="0" xfId="7">
      <alignment horizontal="center" wrapText="1"/>
    </xf>
    <xf numFmtId="0" fontId="13" fillId="0" borderId="0" applyAlignment="1" pivotButton="0" quotePrefix="0" xfId="7">
      <alignment horizontal="center" wrapText="1"/>
    </xf>
    <xf numFmtId="0" fontId="14" fillId="0" borderId="0" applyAlignment="1" pivotButton="0" quotePrefix="0" xfId="3">
      <alignment vertical="center"/>
    </xf>
    <xf numFmtId="0" fontId="16" fillId="0" borderId="0" applyAlignment="1" pivotButton="0" quotePrefix="0" xfId="0">
      <alignment horizontal="left"/>
    </xf>
    <xf numFmtId="2" fontId="12" fillId="0" borderId="0" applyAlignment="1" pivotButton="0" quotePrefix="0" xfId="7">
      <alignment horizontal="center" wrapText="1"/>
    </xf>
    <xf numFmtId="0" fontId="14" fillId="0" borderId="0" applyAlignment="1" pivotButton="0" quotePrefix="0" xfId="3">
      <alignment vertical="top"/>
    </xf>
    <xf numFmtId="0" fontId="17" fillId="0" borderId="0" applyAlignment="1" pivotButton="0" quotePrefix="0" xfId="0">
      <alignment horizontal="center" wrapText="1"/>
    </xf>
    <xf numFmtId="0" fontId="18" fillId="0" borderId="0" applyAlignment="1" pivotButton="0" quotePrefix="0" xfId="0">
      <alignment horizontal="center"/>
    </xf>
    <xf numFmtId="0" fontId="18" fillId="0" borderId="0" pivotButton="0" quotePrefix="0" xfId="0"/>
    <xf numFmtId="0" fontId="10" fillId="0" borderId="0" applyAlignment="1" pivotButton="0" quotePrefix="0" xfId="3">
      <alignment vertical="top"/>
    </xf>
    <xf numFmtId="0" fontId="10" fillId="0" borderId="0" applyAlignment="1" pivotButton="0" quotePrefix="0" xfId="3">
      <alignment vertical="top" wrapText="1"/>
    </xf>
    <xf numFmtId="0" fontId="20" fillId="0" borderId="0" applyAlignment="1" pivotButton="0" quotePrefix="0" xfId="3">
      <alignment horizontal="center" vertical="top" wrapText="1"/>
    </xf>
    <xf numFmtId="0" fontId="20" fillId="0" borderId="0" applyAlignment="1" pivotButton="0" quotePrefix="0" xfId="3">
      <alignment horizontal="left" vertical="top" wrapText="1"/>
    </xf>
    <xf numFmtId="0" fontId="10" fillId="0" borderId="0" applyAlignment="1" pivotButton="0" quotePrefix="0" xfId="3">
      <alignment horizontal="center" vertical="top" wrapText="1"/>
    </xf>
    <xf numFmtId="0" fontId="20" fillId="0" borderId="0" applyAlignment="1" pivotButton="0" quotePrefix="0" xfId="3">
      <alignment horizontal="center" vertical="top"/>
    </xf>
    <xf numFmtId="0" fontId="20" fillId="0" borderId="0" applyAlignment="1" pivotButton="0" quotePrefix="0" xfId="3">
      <alignment vertical="top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wrapText="1"/>
    </xf>
    <xf numFmtId="0" fontId="21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166" fontId="9" fillId="0" borderId="0" applyAlignment="1" pivotButton="0" quotePrefix="0" xfId="0">
      <alignment horizontal="center"/>
    </xf>
    <xf numFmtId="2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center" vertical="center"/>
    </xf>
    <xf numFmtId="2" fontId="8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top" wrapText="1"/>
    </xf>
    <xf numFmtId="0" fontId="24" fillId="0" borderId="0" applyAlignment="1" pivotButton="0" quotePrefix="0" xfId="0">
      <alignment vertical="top" wrapText="1"/>
    </xf>
    <xf numFmtId="0" fontId="24" fillId="0" borderId="0" applyAlignment="1" pivotButton="0" quotePrefix="0" xfId="0">
      <alignment horizontal="center" vertical="top" wrapText="1"/>
    </xf>
    <xf numFmtId="0" fontId="12" fillId="0" borderId="0" applyAlignment="1" pivotButton="0" quotePrefix="0" xfId="7">
      <alignment horizontal="center" vertical="top" wrapText="1"/>
    </xf>
    <xf numFmtId="0" fontId="22" fillId="0" borderId="0" applyAlignment="1" pivotButton="0" quotePrefix="0" xfId="0">
      <alignment vertical="top" wrapText="1"/>
    </xf>
    <xf numFmtId="164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2" fontId="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7">
      <alignment vertical="top" wrapText="1"/>
    </xf>
    <xf numFmtId="0" fontId="14" fillId="0" borderId="0" applyAlignment="1" pivotButton="0" quotePrefix="0" xfId="3">
      <alignment vertical="top" wrapText="1"/>
    </xf>
    <xf numFmtId="0" fontId="1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2" fontId="10" fillId="0" borderId="0" applyAlignment="1" pivotButton="0" quotePrefix="0" xfId="3">
      <alignment horizontal="center" vertical="center" wrapText="1"/>
    </xf>
    <xf numFmtId="2" fontId="11" fillId="0" borderId="0" applyAlignment="1" pivotButton="0" quotePrefix="0" xfId="0">
      <alignment horizontal="center" wrapText="1"/>
    </xf>
    <xf numFmtId="2" fontId="8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167" fontId="9" fillId="0" borderId="0" applyAlignment="1" pivotButton="0" quotePrefix="0" xfId="0">
      <alignment horizontal="center"/>
    </xf>
    <xf numFmtId="167" fontId="10" fillId="0" borderId="0" applyAlignment="1" pivotButton="0" quotePrefix="0" xfId="3">
      <alignment horizontal="center" vertical="center" wrapText="1"/>
    </xf>
    <xf numFmtId="167" fontId="16" fillId="0" borderId="0" applyAlignment="1" pivotButton="0" quotePrefix="0" xfId="0">
      <alignment horizontal="left"/>
    </xf>
    <xf numFmtId="167" fontId="11" fillId="0" borderId="0" applyAlignment="1" pivotButton="0" quotePrefix="0" xfId="0">
      <alignment horizontal="center" wrapText="1"/>
    </xf>
    <xf numFmtId="167" fontId="0" fillId="0" borderId="0" pivotButton="0" quotePrefix="0" xfId="0"/>
    <xf numFmtId="167" fontId="12" fillId="0" borderId="0" applyAlignment="1" pivotButton="0" quotePrefix="0" xfId="7">
      <alignment horizontal="center" wrapText="1"/>
    </xf>
    <xf numFmtId="167" fontId="0" fillId="0" borderId="0" pivotButton="0" quotePrefix="0" xfId="0"/>
    <xf numFmtId="167" fontId="8" fillId="0" borderId="0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vertical="center"/>
    </xf>
    <xf numFmtId="167" fontId="1" fillId="0" borderId="0" applyAlignment="1" pivotButton="0" quotePrefix="0" xfId="0">
      <alignment horizontal="center" vertical="center"/>
    </xf>
    <xf numFmtId="168" fontId="10" fillId="0" borderId="0" applyAlignment="1" pivotButton="0" quotePrefix="0" xfId="3">
      <alignment horizontal="center" vertical="center" wrapText="1"/>
    </xf>
    <xf numFmtId="168" fontId="11" fillId="0" borderId="0" applyAlignment="1" pivotButton="0" quotePrefix="0" xfId="0">
      <alignment horizontal="center" wrapText="1"/>
    </xf>
    <xf numFmtId="168" fontId="13" fillId="0" borderId="0" applyAlignment="1" pivotButton="0" quotePrefix="0" xfId="7">
      <alignment horizontal="center" wrapText="1"/>
    </xf>
    <xf numFmtId="168" fontId="21" fillId="0" borderId="0" applyAlignment="1" pivotButton="0" quotePrefix="0" xfId="0">
      <alignment horizontal="center"/>
    </xf>
    <xf numFmtId="168" fontId="8" fillId="0" borderId="0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168" fontId="1" fillId="0" borderId="0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 wrapText="1"/>
    </xf>
    <xf numFmtId="164" fontId="26" fillId="0" borderId="1" applyAlignment="1" pivotButton="0" quotePrefix="0" xfId="0">
      <alignment horizontal="center" vertical="center" wrapText="1"/>
    </xf>
    <xf numFmtId="166" fontId="26" fillId="0" borderId="1" applyAlignment="1" pivotButton="0" quotePrefix="0" xfId="0">
      <alignment horizontal="center" vertical="center" wrapText="1"/>
    </xf>
    <xf numFmtId="2" fontId="26" fillId="0" borderId="1" applyAlignment="1" pivotButton="0" quotePrefix="0" xfId="0">
      <alignment horizontal="center" vertical="center" wrapText="1"/>
    </xf>
    <xf numFmtId="168" fontId="26" fillId="0" borderId="2" applyAlignment="1" pivotButton="0" quotePrefix="0" xfId="0">
      <alignment horizontal="center" vertical="center" wrapText="1"/>
    </xf>
    <xf numFmtId="167" fontId="26" fillId="0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vertical="center"/>
    </xf>
    <xf numFmtId="0" fontId="29" fillId="0" borderId="0" applyAlignment="1" pivotButton="0" quotePrefix="0" xfId="0">
      <alignment horizontal="center" vertical="center"/>
    </xf>
    <xf numFmtId="169" fontId="29" fillId="0" borderId="0" applyAlignment="1" pivotButton="0" quotePrefix="0" xfId="0">
      <alignment horizontal="center" vertical="center"/>
    </xf>
    <xf numFmtId="170" fontId="28" fillId="0" borderId="1" applyAlignment="1" pivotButton="0" quotePrefix="0" xfId="0">
      <alignment horizontal="center" vertical="center"/>
    </xf>
    <xf numFmtId="2" fontId="28" fillId="0" borderId="1" applyAlignment="1" pivotButton="0" quotePrefix="0" xfId="0">
      <alignment horizontal="center" vertical="center"/>
    </xf>
    <xf numFmtId="164" fontId="28" fillId="0" borderId="1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165" fontId="42" fillId="0" borderId="1" applyAlignment="1" pivotButton="0" quotePrefix="0" xfId="2">
      <alignment horizontal="center" vertical="center" wrapText="1"/>
    </xf>
    <xf numFmtId="2" fontId="1" fillId="0" borderId="1" applyAlignment="1" pivotButton="0" quotePrefix="0" xfId="0">
      <alignment horizontal="center" vertical="center"/>
    </xf>
    <xf numFmtId="0" fontId="26" fillId="0" borderId="2" applyAlignment="1" pivotButton="0" quotePrefix="0" xfId="0">
      <alignment vertical="center"/>
    </xf>
    <xf numFmtId="0" fontId="26" fillId="0" borderId="3" applyAlignment="1" pivotButton="0" quotePrefix="0" xfId="0">
      <alignment vertical="center"/>
    </xf>
    <xf numFmtId="0" fontId="26" fillId="0" borderId="4" applyAlignment="1" pivotButton="0" quotePrefix="0" xfId="0">
      <alignment vertical="center"/>
    </xf>
    <xf numFmtId="167" fontId="1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3" fillId="0" borderId="1" applyAlignment="1" pivotButton="0" quotePrefix="0" xfId="0">
      <alignment horizontal="center" vertical="center" wrapText="1" shrinkToFit="1"/>
    </xf>
    <xf numFmtId="0" fontId="8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shrinkToFit="1"/>
    </xf>
    <xf numFmtId="0" fontId="0" fillId="0" borderId="0" applyAlignment="1" pivotButton="0" quotePrefix="0" xfId="0">
      <alignment vertical="center" shrinkToFit="1"/>
    </xf>
    <xf numFmtId="0" fontId="26" fillId="0" borderId="0" applyAlignment="1" pivotButton="0" quotePrefix="0" xfId="0">
      <alignment vertical="center" shrinkToFit="1"/>
    </xf>
    <xf numFmtId="0" fontId="1" fillId="0" borderId="0" applyAlignment="1" pivotButton="0" quotePrefix="0" xfId="0">
      <alignment vertical="center" shrinkToFit="1"/>
    </xf>
    <xf numFmtId="0" fontId="43" fillId="0" borderId="5" applyAlignment="1" pivotButton="0" quotePrefix="0" xfId="2">
      <alignment horizontal="center"/>
    </xf>
    <xf numFmtId="0" fontId="43" fillId="0" borderId="5" applyAlignment="1" pivotButton="0" quotePrefix="0" xfId="2">
      <alignment horizontal="center" wrapText="1"/>
    </xf>
    <xf numFmtId="0" fontId="44" fillId="0" borderId="5" applyAlignment="1" pivotButton="0" quotePrefix="0" xfId="2">
      <alignment horizontal="center" wrapText="1"/>
    </xf>
    <xf numFmtId="166" fontId="44" fillId="0" borderId="5" applyAlignment="1" pivotButton="0" quotePrefix="0" xfId="2">
      <alignment horizontal="center" wrapText="1"/>
    </xf>
    <xf numFmtId="165" fontId="43" fillId="0" borderId="5" applyAlignment="1" pivotButton="0" quotePrefix="0" xfId="2">
      <alignment horizontal="center" wrapText="1"/>
    </xf>
    <xf numFmtId="0" fontId="45" fillId="0" borderId="6" applyAlignment="1" pivotButton="0" quotePrefix="0" xfId="2">
      <alignment horizontal="left"/>
    </xf>
    <xf numFmtId="0" fontId="34" fillId="0" borderId="6" applyAlignment="1" pivotButton="0" quotePrefix="0" xfId="2">
      <alignment horizontal="left"/>
    </xf>
    <xf numFmtId="2" fontId="7" fillId="0" borderId="0" applyAlignment="1" pivotButton="0" quotePrefix="0" xfId="0">
      <alignment horizontal="center" vertical="center" wrapText="1"/>
    </xf>
    <xf numFmtId="168" fontId="7" fillId="0" borderId="0" applyAlignment="1" pivotButton="0" quotePrefix="0" xfId="0">
      <alignment horizontal="center" vertical="center" wrapText="1"/>
    </xf>
    <xf numFmtId="0" fontId="43" fillId="0" borderId="5" applyAlignment="1" pivotButton="0" quotePrefix="0" xfId="2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31" fillId="0" borderId="1" applyAlignment="1" pivotButton="0" quotePrefix="0" xfId="2">
      <alignment horizontal="center" vertical="center"/>
    </xf>
    <xf numFmtId="171" fontId="8" fillId="0" borderId="0" applyAlignment="1" pivotButton="0" quotePrefix="0" xfId="0">
      <alignment vertical="center"/>
    </xf>
    <xf numFmtId="171" fontId="0" fillId="0" borderId="0" pivotButton="0" quotePrefix="0" xfId="0"/>
    <xf numFmtId="171" fontId="0" fillId="0" borderId="0" applyAlignment="1" pivotButton="0" quotePrefix="0" xfId="0">
      <alignment vertical="center"/>
    </xf>
    <xf numFmtId="171" fontId="26" fillId="0" borderId="0" applyAlignment="1" pivotButton="0" quotePrefix="0" xfId="0">
      <alignment vertical="center"/>
    </xf>
    <xf numFmtId="171" fontId="29" fillId="0" borderId="0" applyAlignment="1" pivotButton="0" quotePrefix="0" xfId="0">
      <alignment horizontal="center" vertical="center"/>
    </xf>
    <xf numFmtId="171" fontId="28" fillId="0" borderId="0" applyAlignment="1" pivotButton="0" quotePrefix="0" xfId="0">
      <alignment vertical="center"/>
    </xf>
    <xf numFmtId="171" fontId="1" fillId="0" borderId="0" applyAlignment="1" pivotButton="0" quotePrefix="0" xfId="0">
      <alignment vertical="center"/>
    </xf>
    <xf numFmtId="0" fontId="48" fillId="0" borderId="5" applyAlignment="1" pivotButton="0" quotePrefix="0" xfId="2">
      <alignment horizontal="center" vertical="center" wrapText="1"/>
    </xf>
    <xf numFmtId="14" fontId="29" fillId="0" borderId="1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0" fontId="29" fillId="0" borderId="1" applyAlignment="1" pivotButton="0" quotePrefix="0" xfId="15">
      <alignment horizontal="left" vertical="center"/>
    </xf>
    <xf numFmtId="0" fontId="29" fillId="0" borderId="7" applyAlignment="1" pivotButton="0" quotePrefix="0" xfId="15">
      <alignment horizontal="center" vertical="center"/>
    </xf>
    <xf numFmtId="49" fontId="29" fillId="0" borderId="1" applyAlignment="1" pivotButton="0" quotePrefix="0" xfId="15">
      <alignment horizontal="center" vertical="center"/>
    </xf>
    <xf numFmtId="0" fontId="46" fillId="0" borderId="1" applyAlignment="1" pivotButton="0" quotePrefix="0" xfId="11">
      <alignment horizontal="center" vertical="top"/>
    </xf>
    <xf numFmtId="0" fontId="46" fillId="0" borderId="1" applyAlignment="1" pivotButton="0" quotePrefix="0" xfId="11">
      <alignment horizontal="left" vertical="top"/>
    </xf>
    <xf numFmtId="0" fontId="47" fillId="0" borderId="1" applyAlignment="1" pivotButton="0" quotePrefix="0" xfId="12">
      <alignment horizontal="left"/>
    </xf>
    <xf numFmtId="0" fontId="49" fillId="0" borderId="1" applyAlignment="1" pivotButton="0" quotePrefix="0" xfId="2">
      <alignment horizontal="center"/>
    </xf>
    <xf numFmtId="0" fontId="49" fillId="0" borderId="1" applyAlignment="1" pivotButton="0" quotePrefix="0" xfId="2">
      <alignment horizontal="center" wrapText="1"/>
    </xf>
    <xf numFmtId="166" fontId="49" fillId="0" borderId="1" applyAlignment="1" pivotButton="0" quotePrefix="0" xfId="2">
      <alignment horizontal="center"/>
    </xf>
    <xf numFmtId="165" fontId="49" fillId="0" borderId="1" applyAlignment="1" pivotButton="0" quotePrefix="0" xfId="2">
      <alignment horizontal="center" wrapText="1"/>
    </xf>
    <xf numFmtId="167" fontId="28" fillId="0" borderId="1" applyAlignment="1" pivotButton="0" quotePrefix="0" xfId="0">
      <alignment horizontal="center" vertical="center"/>
    </xf>
    <xf numFmtId="165" fontId="31" fillId="0" borderId="6" applyAlignment="1" pivotButton="0" quotePrefix="0" xfId="2">
      <alignment horizontal="right"/>
    </xf>
    <xf numFmtId="0" fontId="28" fillId="0" borderId="1" applyAlignment="1" pivotButton="0" quotePrefix="0" xfId="0">
      <alignment horizontal="center" vertical="center"/>
    </xf>
    <xf numFmtId="0" fontId="50" fillId="0" borderId="6" applyAlignment="1" pivotButton="0" quotePrefix="0" xfId="2">
      <alignment horizontal="right"/>
    </xf>
    <xf numFmtId="0" fontId="31" fillId="0" borderId="6" applyAlignment="1" pivotButton="0" quotePrefix="0" xfId="2">
      <alignment horizontal="right"/>
    </xf>
    <xf numFmtId="0" fontId="28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48" fillId="2" borderId="5" applyAlignment="1" pivotButton="0" quotePrefix="0" xfId="2">
      <alignment horizontal="center" vertical="center" wrapText="1"/>
    </xf>
    <xf numFmtId="0" fontId="33" fillId="2" borderId="1" applyAlignment="1" pivotButton="0" quotePrefix="0" xfId="0">
      <alignment horizontal="center" vertical="center" wrapText="1" shrinkToFit="1"/>
    </xf>
    <xf numFmtId="0" fontId="31" fillId="2" borderId="1" applyAlignment="1" pivotButton="0" quotePrefix="0" xfId="2">
      <alignment horizontal="center" vertical="center"/>
    </xf>
    <xf numFmtId="2" fontId="1" fillId="2" borderId="1" applyAlignment="1" pivotButton="0" quotePrefix="0" xfId="0">
      <alignment horizontal="center" vertical="center"/>
    </xf>
    <xf numFmtId="167" fontId="1" fillId="2" borderId="1" applyAlignment="1" pivotButton="0" quotePrefix="0" xfId="0">
      <alignment horizontal="center" vertical="center"/>
    </xf>
    <xf numFmtId="165" fontId="42" fillId="2" borderId="1" applyAlignment="1" pivotButton="0" quotePrefix="0" xfId="2">
      <alignment horizontal="center" vertical="center" wrapText="1"/>
    </xf>
    <xf numFmtId="0" fontId="46" fillId="2" borderId="1" applyAlignment="1" pivotButton="0" quotePrefix="0" xfId="11">
      <alignment horizontal="center" vertical="top"/>
    </xf>
    <xf numFmtId="0" fontId="46" fillId="2" borderId="1" applyAlignment="1" pivotButton="0" quotePrefix="0" xfId="11">
      <alignment horizontal="left" vertical="top"/>
    </xf>
    <xf numFmtId="0" fontId="47" fillId="2" borderId="1" applyAlignment="1" pivotButton="0" quotePrefix="0" xfId="12">
      <alignment horizontal="left"/>
    </xf>
    <xf numFmtId="0" fontId="0" fillId="2" borderId="0" applyAlignment="1" pivotButton="0" quotePrefix="0" xfId="0">
      <alignment vertical="center"/>
    </xf>
    <xf numFmtId="0" fontId="49" fillId="2" borderId="1" applyAlignment="1" pivotButton="0" quotePrefix="0" xfId="2">
      <alignment horizontal="center" wrapText="1"/>
    </xf>
    <xf numFmtId="165" fontId="49" fillId="2" borderId="1" applyAlignment="1" pivotButton="0" quotePrefix="0" xfId="2">
      <alignment horizontal="center" wrapText="1"/>
    </xf>
    <xf numFmtId="0" fontId="29" fillId="2" borderId="0" applyAlignment="1" pivotButton="0" quotePrefix="0" xfId="0">
      <alignment horizontal="center" vertical="center"/>
    </xf>
    <xf numFmtId="165" fontId="0" fillId="2" borderId="0" applyAlignment="1" pivotButton="0" quotePrefix="0" xfId="0">
      <alignment vertical="center"/>
    </xf>
    <xf numFmtId="172" fontId="0" fillId="2" borderId="0" applyAlignment="1" pivotButton="0" quotePrefix="0" xfId="0">
      <alignment vertical="center"/>
    </xf>
    <xf numFmtId="166" fontId="50" fillId="0" borderId="8" applyAlignment="1" pivotButton="0" quotePrefix="0" xfId="2">
      <alignment horizontal="center"/>
    </xf>
    <xf numFmtId="0" fontId="23" fillId="0" borderId="0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/>
    </xf>
    <xf numFmtId="167" fontId="16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67" fontId="3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167" fontId="9" fillId="0" borderId="0" applyAlignment="1" pivotButton="0" quotePrefix="0" xfId="0">
      <alignment horizontal="center"/>
    </xf>
    <xf numFmtId="0" fontId="10" fillId="0" borderId="0" applyAlignment="1" pivotButton="0" quotePrefix="0" xfId="3">
      <alignment horizontal="center" vertical="center" wrapText="1"/>
    </xf>
    <xf numFmtId="167" fontId="10" fillId="0" borderId="0" applyAlignment="1" pivotButton="0" quotePrefix="0" xfId="3">
      <alignment horizontal="center" vertical="center" wrapText="1"/>
    </xf>
    <xf numFmtId="0" fontId="11" fillId="0" borderId="0" applyAlignment="1" pivotButton="0" quotePrefix="0" xfId="0">
      <alignment horizontal="center" wrapText="1"/>
    </xf>
    <xf numFmtId="167" fontId="11" fillId="0" borderId="0" applyAlignment="1" pivotButton="0" quotePrefix="0" xfId="0">
      <alignment horizontal="center" wrapText="1"/>
    </xf>
    <xf numFmtId="0" fontId="19" fillId="0" borderId="0" applyAlignment="1" pivotButton="0" quotePrefix="0" xfId="3">
      <alignment horizontal="left" vertical="top"/>
    </xf>
    <xf numFmtId="167" fontId="19" fillId="0" borderId="0" applyAlignment="1" pivotButton="0" quotePrefix="0" xfId="3">
      <alignment horizontal="left" vertical="top"/>
    </xf>
    <xf numFmtId="0" fontId="10" fillId="0" borderId="0" applyAlignment="1" pivotButton="0" quotePrefix="0" xfId="3">
      <alignment horizontal="left" vertical="top" wrapText="1"/>
    </xf>
    <xf numFmtId="167" fontId="10" fillId="0" borderId="0" applyAlignment="1" pivotButton="0" quotePrefix="0" xfId="3">
      <alignment horizontal="left" vertical="top" wrapText="1"/>
    </xf>
    <xf numFmtId="0" fontId="10" fillId="0" borderId="0" applyAlignment="1" pivotButton="0" quotePrefix="0" xfId="3">
      <alignment horizontal="center" vertical="top" wrapText="1"/>
    </xf>
    <xf numFmtId="0" fontId="23" fillId="0" borderId="0" applyAlignment="1" pivotButton="0" quotePrefix="0" xfId="0">
      <alignment vertical="top" wrapText="1"/>
    </xf>
    <xf numFmtId="0" fontId="23" fillId="0" borderId="0" applyAlignment="1" pivotButton="0" quotePrefix="0" xfId="0">
      <alignment horizontal="justify" vertical="top"/>
    </xf>
    <xf numFmtId="0" fontId="24" fillId="0" borderId="0" applyAlignment="1" pivotButton="0" quotePrefix="0" xfId="0">
      <alignment vertical="top" wrapText="1"/>
    </xf>
    <xf numFmtId="0" fontId="24" fillId="0" borderId="0" applyAlignment="1" pivotButton="0" quotePrefix="0" xfId="0">
      <alignment horizontal="justify" vertical="top" wrapText="1"/>
    </xf>
    <xf numFmtId="0" fontId="12" fillId="0" borderId="0" applyAlignment="1" pivotButton="0" quotePrefix="0" xfId="7">
      <alignment horizontal="justify" vertical="top" wrapText="1"/>
    </xf>
    <xf numFmtId="0" fontId="12" fillId="0" borderId="0" applyAlignment="1" pivotButton="0" quotePrefix="0" xfId="7">
      <alignment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left" vertical="top" wrapText="1"/>
    </xf>
    <xf numFmtId="167" fontId="24" fillId="0" borderId="0" applyAlignment="1" pivotButton="0" quotePrefix="0" xfId="0">
      <alignment vertical="top" wrapText="1"/>
    </xf>
    <xf numFmtId="167" fontId="23" fillId="0" borderId="0" applyAlignment="1" pivotButton="0" quotePrefix="0" xfId="0">
      <alignment horizontal="justify" vertical="top"/>
    </xf>
    <xf numFmtId="0" fontId="32" fillId="0" borderId="0" applyAlignment="1" pivotButton="0" quotePrefix="0" xfId="0">
      <alignment horizontal="center" wrapText="1"/>
    </xf>
    <xf numFmtId="167" fontId="32" fillId="0" borderId="0" applyAlignment="1" pivotButton="0" quotePrefix="0" xfId="0">
      <alignment horizontal="center" wrapText="1"/>
    </xf>
    <xf numFmtId="164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71" fontId="1" fillId="0" borderId="0" applyAlignment="1" pivotButton="0" quotePrefix="0" xfId="0">
      <alignment vertical="center"/>
    </xf>
    <xf numFmtId="171" fontId="8" fillId="0" borderId="0" applyAlignment="1" pivotButton="0" quotePrefix="0" xfId="0">
      <alignment vertical="center"/>
    </xf>
    <xf numFmtId="171" fontId="0" fillId="0" borderId="0" pivotButton="0" quotePrefix="0" xfId="0"/>
    <xf numFmtId="167" fontId="10" fillId="0" borderId="0" applyAlignment="1" pivotButton="0" quotePrefix="0" xfId="3">
      <alignment horizontal="center" vertical="center" wrapText="1"/>
    </xf>
    <xf numFmtId="168" fontId="10" fillId="0" borderId="0" applyAlignment="1" pivotButton="0" quotePrefix="0" xfId="3">
      <alignment horizontal="center" vertical="center" wrapText="1"/>
    </xf>
    <xf numFmtId="171" fontId="0" fillId="0" borderId="0" applyAlignment="1" pivotButton="0" quotePrefix="0" xfId="0">
      <alignment vertical="center"/>
    </xf>
    <xf numFmtId="167" fontId="11" fillId="0" borderId="0" applyAlignment="1" pivotButton="0" quotePrefix="0" xfId="0">
      <alignment horizontal="center" wrapText="1"/>
    </xf>
    <xf numFmtId="168" fontId="11" fillId="0" borderId="0" applyAlignment="1" pivotButton="0" quotePrefix="0" xfId="0">
      <alignment horizontal="center" wrapText="1"/>
    </xf>
    <xf numFmtId="167" fontId="12" fillId="0" borderId="0" applyAlignment="1" pivotButton="0" quotePrefix="0" xfId="7">
      <alignment horizontal="center" wrapText="1"/>
    </xf>
    <xf numFmtId="167" fontId="0" fillId="0" borderId="0" pivotButton="0" quotePrefix="0" xfId="0"/>
    <xf numFmtId="165" fontId="31" fillId="0" borderId="6" applyAlignment="1" pivotButton="0" quotePrefix="0" xfId="2">
      <alignment horizontal="right"/>
    </xf>
    <xf numFmtId="167" fontId="16" fillId="0" borderId="0" applyAlignment="1" pivotButton="0" quotePrefix="0" xfId="0">
      <alignment horizontal="left"/>
    </xf>
    <xf numFmtId="168" fontId="13" fillId="0" borderId="0" applyAlignment="1" pivotButton="0" quotePrefix="0" xfId="7">
      <alignment horizontal="center" wrapText="1"/>
    </xf>
    <xf numFmtId="164" fontId="9" fillId="0" borderId="0" applyAlignment="1" pivotButton="0" quotePrefix="0" xfId="0">
      <alignment horizontal="center"/>
    </xf>
    <xf numFmtId="167" fontId="9" fillId="0" borderId="0" applyAlignment="1" pivotButton="0" quotePrefix="0" xfId="0">
      <alignment horizontal="center"/>
    </xf>
    <xf numFmtId="168" fontId="7" fillId="0" borderId="0" applyAlignment="1" pivotButton="0" quotePrefix="0" xfId="0">
      <alignment horizontal="center" vertical="center" wrapText="1"/>
    </xf>
    <xf numFmtId="168" fontId="21" fillId="0" borderId="0" applyAlignment="1" pivotButton="0" quotePrefix="0" xfId="0">
      <alignment horizontal="center"/>
    </xf>
    <xf numFmtId="164" fontId="26" fillId="0" borderId="1" applyAlignment="1" pivotButton="0" quotePrefix="0" xfId="0">
      <alignment horizontal="center" vertical="center" wrapText="1"/>
    </xf>
    <xf numFmtId="167" fontId="26" fillId="0" borderId="1" applyAlignment="1" pivotButton="0" quotePrefix="0" xfId="0">
      <alignment horizontal="center" vertical="center" wrapText="1"/>
    </xf>
    <xf numFmtId="168" fontId="26" fillId="0" borderId="2" applyAlignment="1" pivotButton="0" quotePrefix="0" xfId="0">
      <alignment horizontal="center" vertical="center" wrapText="1"/>
    </xf>
    <xf numFmtId="165" fontId="43" fillId="0" borderId="5" applyAlignment="1" pivotButton="0" quotePrefix="0" xfId="2">
      <alignment horizontal="center" wrapText="1"/>
    </xf>
    <xf numFmtId="171" fontId="26" fillId="0" borderId="0" applyAlignment="1" pivotButton="0" quotePrefix="0" xfId="0">
      <alignment vertical="center"/>
    </xf>
    <xf numFmtId="167" fontId="1" fillId="0" borderId="1" applyAlignment="1" pivotButton="0" quotePrefix="0" xfId="0">
      <alignment horizontal="center" vertical="center"/>
    </xf>
    <xf numFmtId="165" fontId="42" fillId="0" borderId="1" applyAlignment="1" pivotButton="0" quotePrefix="0" xfId="2">
      <alignment horizontal="center" vertical="center" wrapText="1"/>
    </xf>
    <xf numFmtId="165" fontId="49" fillId="0" borderId="1" applyAlignment="1" pivotButton="0" quotePrefix="0" xfId="2">
      <alignment horizontal="center" wrapText="1"/>
    </xf>
    <xf numFmtId="171" fontId="29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167" fontId="1" fillId="2" borderId="1" applyAlignment="1" pivotButton="0" quotePrefix="0" xfId="0">
      <alignment horizontal="center" vertical="center"/>
    </xf>
    <xf numFmtId="165" fontId="42" fillId="2" borderId="1" applyAlignment="1" pivotButton="0" quotePrefix="0" xfId="2">
      <alignment horizontal="center" vertical="center" wrapText="1"/>
    </xf>
    <xf numFmtId="165" fontId="49" fillId="2" borderId="1" applyAlignment="1" pivotButton="0" quotePrefix="0" xfId="2">
      <alignment horizontal="center" wrapText="1"/>
    </xf>
    <xf numFmtId="165" fontId="0" fillId="2" borderId="0" applyAlignment="1" pivotButton="0" quotePrefix="0" xfId="0">
      <alignment vertical="center"/>
    </xf>
    <xf numFmtId="172" fontId="0" fillId="2" borderId="0" applyAlignment="1" pivotButton="0" quotePrefix="0" xfId="0">
      <alignment vertical="center"/>
    </xf>
    <xf numFmtId="170" fontId="28" fillId="0" borderId="1" applyAlignment="1" pivotButton="0" quotePrefix="0" xfId="0">
      <alignment horizontal="center" vertical="center"/>
    </xf>
    <xf numFmtId="167" fontId="28" fillId="0" borderId="1" applyAlignment="1" pivotButton="0" quotePrefix="0" xfId="0">
      <alignment horizontal="center" vertical="center"/>
    </xf>
    <xf numFmtId="164" fontId="28" fillId="0" borderId="1" applyAlignment="1" pivotButton="0" quotePrefix="0" xfId="0">
      <alignment horizontal="center" vertical="center"/>
    </xf>
    <xf numFmtId="171" fontId="28" fillId="0" borderId="0" applyAlignment="1" pivotButton="0" quotePrefix="0" xfId="0">
      <alignment vertical="center"/>
    </xf>
    <xf numFmtId="164" fontId="8" fillId="0" borderId="0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9" fontId="29" fillId="0" borderId="0" applyAlignment="1" pivotButton="0" quotePrefix="0" xfId="0">
      <alignment horizontal="center" vertical="center"/>
    </xf>
  </cellXfs>
  <cellStyles count="22">
    <cellStyle name="Обычный" xfId="0" builtinId="0"/>
    <cellStyle name="_ET_STYLE_NoName_00_" xfId="1"/>
    <cellStyle name="Normal" xfId="2"/>
    <cellStyle name="Normal 2" xfId="3"/>
    <cellStyle name="Normal 2 2" xfId="4"/>
    <cellStyle name="Normal 3" xfId="5"/>
    <cellStyle name="Normal 4" xfId="6"/>
    <cellStyle name="Гиперссылка" xfId="7" builtinId="8"/>
    <cellStyle name="Гиперссылка 2" xfId="8"/>
    <cellStyle name="Гиперссылка 3" xfId="9"/>
    <cellStyle name="Обычный 2" xfId="10"/>
    <cellStyle name="Обычный 2 2" xfId="11"/>
    <cellStyle name="Обычный 2 3" xfId="12"/>
    <cellStyle name="Обычный 3" xfId="13"/>
    <cellStyle name="Обычный 4" xfId="14"/>
    <cellStyle name="Обычный 5" xfId="15"/>
    <cellStyle name="常规 10" xfId="16"/>
    <cellStyle name="常规 11" xfId="17"/>
    <cellStyle name="常规 2" xfId="18"/>
    <cellStyle name="常规 6" xfId="19"/>
    <cellStyle name="常规 8" xfId="20"/>
    <cellStyle name="常规 9" xfId="2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Medium9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zhongfanghz.cn/" TargetMode="External" Id="rId1" /><Relationship Type="http://schemas.openxmlformats.org/officeDocument/2006/relationships/hyperlink" Target="http://www.zhongfanghz.cn/" TargetMode="External" Id="rId2" /><Relationship Type="http://schemas.openxmlformats.org/officeDocument/2006/relationships/hyperlink" Target="http://www.zhongfanghz.cn/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://www.zhongfanghz.cn/" TargetMode="External" Id="rId1" /><Relationship Type="http://schemas.openxmlformats.org/officeDocument/2006/relationships/hyperlink" Target="http://www.zhongfanghz.cn/" TargetMode="External" Id="rId2" /><Relationship Type="http://schemas.openxmlformats.org/officeDocument/2006/relationships/hyperlink" Target="http://www.zhongfanghz.cn/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X81"/>
  <sheetViews>
    <sheetView tabSelected="1" zoomScale="85" zoomScaleNormal="85" zoomScaleSheetLayoutView="70" workbookViewId="0">
      <pane activePane="bottomRight" state="frozen"/>
      <selection activeCell="R56" sqref="R56"/>
    </sheetView>
  </sheetViews>
  <sheetFormatPr baseColWidth="8" defaultRowHeight="17.25" customHeight="1"/>
  <cols>
    <col width="4.3125" customWidth="1" style="11" min="1" max="1"/>
    <col width="5" customWidth="1" style="11" min="2" max="2"/>
    <col width="7.5" customWidth="1" style="2" min="3" max="3"/>
    <col width="10.5625" customWidth="1" style="2" min="4" max="4"/>
    <col width="62.25" customWidth="1" style="55" min="5" max="5"/>
    <col width="12.25" customWidth="1" style="1" min="6" max="6"/>
    <col width="10.75" customWidth="1" style="1" min="7" max="7"/>
    <col width="13.5625" customWidth="1" style="195" min="8" max="8"/>
    <col width="11.25" customWidth="1" style="195" min="9" max="9"/>
    <col width="10.25" customWidth="1" style="196" min="10" max="10"/>
    <col width="14.25" customWidth="1" style="47" min="11" max="11"/>
    <col width="17.8125" customWidth="1" style="197" min="12" max="12"/>
    <col width="8.75" customWidth="1" style="198" min="13" max="13"/>
    <col width="12.75" customWidth="1" style="196" min="14" max="14"/>
    <col width="12.75" customWidth="1" style="5" min="15" max="15"/>
    <col width="8.8125" customWidth="1" style="5" min="16" max="16"/>
    <col width="7.3125" customWidth="1" style="5" min="17" max="17"/>
    <col width="12.75" customWidth="1" style="109" min="18" max="18"/>
    <col hidden="1" width="12.75" customWidth="1" style="5" min="19" max="25"/>
    <col hidden="1" width="12.75" customWidth="1" style="199" min="26" max="26"/>
    <col hidden="1" width="11.5" customWidth="1" style="5" min="27" max="27"/>
    <col hidden="1" width="13.25" customWidth="1" style="5" min="28" max="28"/>
    <col width="12.75" customWidth="1" style="5" min="29" max="29"/>
    <col width="28.0625" customWidth="1" style="5" min="30" max="30"/>
    <col width="9" customWidth="1" style="5" min="31" max="31"/>
    <col width="9" customWidth="1" style="103" min="32" max="32"/>
    <col width="9" customWidth="1" style="5" min="33" max="196"/>
  </cols>
  <sheetData>
    <row r="1" ht="25.15" customHeight="1" s="11">
      <c r="A1" s="6" t="n"/>
      <c r="B1" s="169" t="inlineStr">
        <is>
          <t>杭 州 中 纺 进 出 口 有 限 公 司</t>
        </is>
      </c>
      <c r="O1" s="7" t="n"/>
      <c r="P1" s="7" t="n"/>
      <c r="Q1" s="7" t="n"/>
      <c r="R1" s="105" t="n"/>
      <c r="S1" s="7" t="n"/>
      <c r="T1" s="7" t="n"/>
      <c r="U1" s="7" t="n"/>
      <c r="V1" s="7" t="n"/>
      <c r="W1" s="7" t="n"/>
      <c r="X1" s="7" t="n"/>
      <c r="Y1" s="7" t="n"/>
      <c r="Z1" s="200" t="n"/>
      <c r="AA1" s="7" t="n"/>
      <c r="AB1" s="7" t="n"/>
      <c r="AC1" s="7" t="n"/>
      <c r="AD1" s="7" t="n"/>
      <c r="AE1" s="7" t="n"/>
      <c r="AF1" s="99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  <c r="BU1" s="7" t="n"/>
      <c r="BV1" s="7" t="n"/>
      <c r="BW1" s="7" t="n"/>
      <c r="BX1" s="7" t="n"/>
      <c r="BY1" s="7" t="n"/>
      <c r="BZ1" s="7" t="n"/>
      <c r="CA1" s="7" t="n"/>
      <c r="CB1" s="7" t="n"/>
      <c r="CC1" s="7" t="n"/>
      <c r="CD1" s="7" t="n"/>
      <c r="CE1" s="7" t="n"/>
      <c r="CF1" s="7" t="n"/>
      <c r="CG1" s="7" t="n"/>
      <c r="CH1" s="7" t="n"/>
      <c r="CI1" s="7" t="n"/>
      <c r="CJ1" s="7" t="n"/>
      <c r="CK1" s="7" t="n"/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  <c r="CU1" s="7" t="n"/>
      <c r="CV1" s="7" t="n"/>
      <c r="CW1" s="7" t="n"/>
      <c r="CX1" s="7" t="n"/>
      <c r="CY1" s="7" t="n"/>
      <c r="CZ1" s="7" t="n"/>
      <c r="DA1" s="7" t="n"/>
      <c r="DB1" s="7" t="n"/>
      <c r="DC1" s="7" t="n"/>
      <c r="DD1" s="7" t="n"/>
      <c r="DE1" s="7" t="n"/>
      <c r="DF1" s="7" t="n"/>
      <c r="DG1" s="7" t="n"/>
      <c r="DH1" s="7" t="n"/>
      <c r="DI1" s="7" t="n"/>
      <c r="DJ1" s="7" t="n"/>
      <c r="DK1" s="7" t="n"/>
      <c r="DL1" s="7" t="n"/>
      <c r="DM1" s="7" t="n"/>
      <c r="DN1" s="7" t="n"/>
      <c r="DO1" s="7" t="n"/>
      <c r="DP1" s="7" t="n"/>
      <c r="DQ1" s="7" t="n"/>
      <c r="DR1" s="7" t="n"/>
      <c r="DS1" s="7" t="n"/>
      <c r="DT1" s="7" t="n"/>
      <c r="DU1" s="7" t="n"/>
      <c r="DV1" s="7" t="n"/>
      <c r="DW1" s="7" t="n"/>
      <c r="DX1" s="7" t="n"/>
      <c r="DY1" s="7" t="n"/>
      <c r="DZ1" s="7" t="n"/>
      <c r="EA1" s="7" t="n"/>
      <c r="EB1" s="7" t="n"/>
      <c r="EC1" s="7" t="n"/>
      <c r="ED1" s="7" t="n"/>
    </row>
    <row r="2" ht="26.25" customHeight="1" s="11">
      <c r="B2" s="171" t="inlineStr">
        <is>
          <t>HANGZHOU ZHONGFANG TEXTILE IMP./EXP. CO., LTD.</t>
        </is>
      </c>
      <c r="O2" s="7" t="n"/>
      <c r="P2" s="7" t="n"/>
      <c r="Q2" s="7" t="n"/>
      <c r="R2" s="105" t="n"/>
      <c r="S2" s="7" t="n"/>
      <c r="T2" s="7" t="n"/>
      <c r="U2" s="7" t="n"/>
      <c r="V2" s="7" t="n"/>
      <c r="W2" s="7" t="n"/>
      <c r="X2" s="7" t="n"/>
      <c r="Y2" s="7" t="n"/>
      <c r="Z2" s="200" t="n"/>
      <c r="AA2" s="7" t="n"/>
      <c r="AB2" s="7" t="n"/>
      <c r="AC2" s="7" t="n"/>
      <c r="AD2" s="7" t="n"/>
      <c r="AE2" s="7" t="n"/>
      <c r="AF2" s="99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</row>
    <row r="3" ht="60.75" customHeight="1" s="11">
      <c r="B3" s="173" t="inlineStr">
        <is>
          <t>NO.756-2,RENMIN AVENUE,NANYUAN STREET, LINPING DISTRICT,HANGZHOU, ZHEJIANG PROVINCE CHINA, tel: +86-571-86255881, E-mail: liuzhihui@zhongfanghz.cn</t>
        </is>
      </c>
      <c r="R3" s="106" t="n"/>
      <c r="S3" s="6" t="n"/>
      <c r="Z3" s="201" t="n"/>
      <c r="AF3" s="100" t="n"/>
    </row>
    <row r="4" ht="15" customHeight="1" s="11">
      <c r="B4" s="173" t="inlineStr">
        <is>
          <t xml:space="preserve">www.zhongfanghz.cn </t>
        </is>
      </c>
      <c r="R4" s="106" t="n"/>
      <c r="S4" s="6" t="n"/>
      <c r="Z4" s="201" t="n"/>
      <c r="AF4" s="100" t="n"/>
    </row>
    <row r="5" ht="15.75" customHeight="1" s="11">
      <c r="B5" s="173" t="n"/>
      <c r="C5" s="173" t="n"/>
      <c r="D5" s="173" t="n"/>
      <c r="E5" s="22" t="n"/>
      <c r="F5" s="173" t="n"/>
      <c r="G5" s="173" t="n"/>
      <c r="H5" s="173" t="n"/>
      <c r="I5" s="173" t="n"/>
      <c r="J5" s="202" t="n"/>
      <c r="K5" s="56" t="n"/>
      <c r="L5" s="203" t="n"/>
      <c r="M5" s="173" t="n"/>
      <c r="N5" s="202" t="n"/>
      <c r="R5" s="106" t="n"/>
      <c r="S5" s="6" t="n"/>
      <c r="Z5" s="201" t="n"/>
      <c r="AF5" s="100" t="n"/>
    </row>
    <row r="6" ht="12" customHeight="1" s="11">
      <c r="B6" s="173" t="n"/>
      <c r="C6" s="173" t="n"/>
      <c r="D6" s="173" t="n"/>
      <c r="E6" s="22" t="n"/>
      <c r="F6" s="173" t="n"/>
      <c r="G6" s="173" t="n"/>
      <c r="H6" s="173" t="n"/>
      <c r="I6" s="173" t="n"/>
      <c r="J6" s="202" t="n"/>
      <c r="K6" s="56" t="n"/>
      <c r="L6" s="203" t="n"/>
      <c r="M6" s="173" t="n"/>
      <c r="N6" s="202" t="n"/>
      <c r="R6" s="106" t="n"/>
      <c r="S6" s="6" t="n"/>
      <c r="Z6" s="201" t="n"/>
      <c r="AF6" s="100" t="n"/>
    </row>
    <row r="7" ht="27" customHeight="1" s="11">
      <c r="B7" s="175">
        <f>"SPECIFICATION №"&amp;L9&amp;" dd "&amp;L11</f>
        <v/>
      </c>
      <c r="R7" s="107" t="n"/>
      <c r="Z7" s="204" t="n"/>
      <c r="AF7" s="101" t="n"/>
    </row>
    <row r="8" ht="15.75" customHeight="1" s="11">
      <c r="B8" s="175" t="n"/>
      <c r="C8" s="175" t="n"/>
      <c r="D8" s="175" t="n"/>
      <c r="E8" s="48" t="n"/>
      <c r="F8" s="175" t="n"/>
      <c r="G8" s="175" t="n"/>
      <c r="H8" s="175" t="n"/>
      <c r="I8" s="175" t="n"/>
      <c r="J8" s="205" t="n"/>
      <c r="K8" s="57" t="n"/>
      <c r="L8" s="206" t="n"/>
      <c r="M8" s="175" t="n"/>
      <c r="N8" s="205" t="n"/>
      <c r="R8" s="107" t="n"/>
      <c r="Z8" s="204" t="n"/>
      <c r="AF8" s="101" t="n"/>
    </row>
    <row r="9" ht="15.75" customHeight="1" s="11">
      <c r="C9" s="12" t="n"/>
      <c r="D9" s="12" t="n"/>
      <c r="E9" s="187" t="n"/>
      <c r="F9" s="12" t="n"/>
      <c r="G9" s="13" t="n"/>
      <c r="H9" s="13" t="n"/>
      <c r="I9" s="12" t="n"/>
      <c r="J9" s="207" t="n"/>
      <c r="K9" s="116" t="inlineStr">
        <is>
          <t>инв номер:</t>
        </is>
      </c>
      <c r="L9" s="147" t="inlineStr">
        <is>
          <t>ZFRMB26148-626-1</t>
        </is>
      </c>
      <c r="N9" s="208" t="n"/>
      <c r="R9" s="106" t="n"/>
      <c r="S9" s="6" t="n"/>
      <c r="Z9" s="201" t="n"/>
      <c r="AF9" s="100" t="n"/>
    </row>
    <row r="10" ht="15.75" customHeight="1" s="11">
      <c r="B10" s="14" t="inlineStr">
        <is>
          <t>Contract/Контракт №：SM-LU2 dated 23.11.2018</t>
        </is>
      </c>
      <c r="C10" s="14" t="n"/>
      <c r="D10" s="14" t="n"/>
      <c r="E10" s="50" t="n"/>
      <c r="F10" s="14" t="n"/>
      <c r="G10" s="14" t="n"/>
      <c r="H10" s="14" t="n"/>
      <c r="I10" s="14" t="n"/>
      <c r="J10" s="207" t="n"/>
      <c r="K10" s="116" t="n"/>
      <c r="L10" s="209" t="n"/>
      <c r="M10" s="167" t="n"/>
      <c r="R10" s="106" t="n"/>
      <c r="S10" s="6" t="n"/>
      <c r="Z10" s="201" t="n"/>
      <c r="AF10" s="100" t="n"/>
    </row>
    <row r="11" ht="16.15" customHeight="1" s="11">
      <c r="B11" s="14" t="n"/>
      <c r="C11" s="14" t="n"/>
      <c r="D11" s="14" t="n"/>
      <c r="E11" s="50" t="n"/>
      <c r="F11" s="14" t="n"/>
      <c r="G11" s="14" t="n"/>
      <c r="H11" s="14" t="n"/>
      <c r="I11" s="14" t="n"/>
      <c r="J11" s="207" t="n"/>
      <c r="K11" s="115" t="inlineStr">
        <is>
          <t>дата:</t>
        </is>
      </c>
      <c r="L11" s="146" t="inlineStr">
        <is>
          <t>Aug.19,2026</t>
        </is>
      </c>
      <c r="M11" s="167" t="n"/>
      <c r="N11" s="210" t="n"/>
      <c r="R11" s="106" t="n"/>
      <c r="S11" s="6" t="n"/>
      <c r="Z11" s="201" t="n"/>
      <c r="AF11" s="100" t="n"/>
    </row>
    <row r="12" ht="15.75" customHeight="1" s="11">
      <c r="C12" s="12" t="n"/>
      <c r="D12" s="12" t="n"/>
      <c r="E12" s="187" t="n"/>
      <c r="F12" s="12" t="n"/>
      <c r="G12" s="13" t="n"/>
      <c r="H12" s="13" t="n"/>
      <c r="I12" s="12" t="n"/>
      <c r="J12" s="207" t="n"/>
      <c r="K12" s="16" t="n"/>
      <c r="L12" s="211" t="n"/>
      <c r="M12" s="12" t="n"/>
      <c r="N12" s="207" t="n"/>
      <c r="R12" s="106" t="n"/>
      <c r="S12" s="6" t="n"/>
      <c r="Z12" s="201" t="n"/>
      <c r="AF12" s="100" t="n"/>
    </row>
    <row r="13" ht="18" customHeight="1" s="11">
      <c r="B13" s="17" t="inlineStr">
        <is>
          <t>Buyer/Покупатель:</t>
        </is>
      </c>
      <c r="C13" s="17" t="n"/>
      <c r="D13" s="17" t="n"/>
      <c r="E13" s="51" t="n"/>
      <c r="F13" s="18" t="n"/>
      <c r="G13" s="19" t="n"/>
      <c r="H13" s="20" t="n"/>
      <c r="I13" s="177" t="inlineStr">
        <is>
          <t>Seller / Продавец:</t>
        </is>
      </c>
      <c r="R13" s="106" t="n"/>
      <c r="S13" s="6" t="n"/>
      <c r="Z13" s="201" t="n"/>
      <c r="AF13" s="100" t="n"/>
    </row>
    <row r="14" ht="19.5" customHeight="1" s="11">
      <c r="B14" s="21" t="inlineStr">
        <is>
          <t>“SM REGIONTEKSTIL'” LLC / “СМ Регионтекстиль” ООО</t>
        </is>
      </c>
      <c r="E14" s="22" t="n"/>
      <c r="F14" s="18" t="n"/>
      <c r="G14" s="19" t="n"/>
      <c r="H14" s="20" t="n"/>
      <c r="I14" s="179" t="inlineStr">
        <is>
          <t>HANGZHOU ZHONGFANG TEXTILE IMP./EXP. CO., LTD.</t>
        </is>
      </c>
      <c r="R14" s="106" t="n"/>
      <c r="S14" s="6" t="n"/>
      <c r="Z14" s="201" t="n"/>
      <c r="AF14" s="100" t="n"/>
    </row>
    <row r="15" ht="16.5" customHeight="1" s="11">
      <c r="B15" s="17" t="inlineStr">
        <is>
          <t>Address/Адрес:</t>
        </is>
      </c>
      <c r="E15" s="22" t="n"/>
      <c r="F15" s="18" t="n"/>
      <c r="G15" s="19" t="n"/>
      <c r="H15" s="20" t="n"/>
      <c r="I15" s="177" t="inlineStr">
        <is>
          <t>Address/Адрес:</t>
        </is>
      </c>
      <c r="N15" s="208" t="n"/>
      <c r="R15" s="106" t="n"/>
      <c r="S15" s="6" t="n"/>
      <c r="Z15" s="201" t="n"/>
      <c r="AF15" s="100" t="n"/>
    </row>
    <row r="16" ht="34.5" customHeight="1" s="11">
      <c r="B16" s="179" t="inlineStr">
        <is>
          <t>143421 Moscow region, city of Krasnogorsk, 21st kilometer of Baltiya highway, comp. 2, bld. 1, prem. 1, OGRN 1175024014472, TIN 5032281280, KPP 502401001</t>
        </is>
      </c>
      <c r="H16" s="24" t="n"/>
      <c r="I16" s="181" t="inlineStr">
        <is>
          <t>NO.756-2,RENMIN AVENUE,NANYUAN STREET, LINPING DISTRICT,HANGZHOU, ZHEJIANG PROVINCE CHINA, tel: +86-571-86255881, E-mail: liuzhihui@zhongfanghz.cn</t>
        </is>
      </c>
      <c r="R16" s="106" t="n"/>
      <c r="S16" s="6" t="n"/>
      <c r="Z16" s="201" t="n"/>
      <c r="AF16" s="100" t="n"/>
    </row>
    <row r="17" ht="31.5" customHeight="1" s="11">
      <c r="B17" s="179" t="inlineStr">
        <is>
          <t xml:space="preserve">143421, МОСКОВСКАЯ ОБЛАСТЬ, Г.О. КРАСНОГОРСК, ТЕР. АВТОДОРОГА БАЛТИЯ, КМ 21-Й, Д. 2, СТР. 1, ПОМЕЩ. 1, ОГРН 1175024014472, ИНН 5032281280, КПП 502401001
</t>
        </is>
      </c>
      <c r="H17" s="24" t="n"/>
      <c r="R17" s="106" t="n"/>
      <c r="S17" s="6" t="n"/>
      <c r="Z17" s="201" t="n"/>
      <c r="AF17" s="100" t="n"/>
    </row>
    <row r="18" ht="15.75" customHeight="1" s="11">
      <c r="B18" s="21" t="inlineStr">
        <is>
          <t>Terms of payment/Условия оплаты: 100% payment during 120 days after shipment / 100% оплата в течении 120 дней со дня поставки.</t>
        </is>
      </c>
      <c r="E18" s="22" t="n"/>
      <c r="F18" s="181" t="n"/>
      <c r="G18" s="26" t="n"/>
      <c r="H18" s="27" t="n"/>
      <c r="I18" s="177" t="inlineStr">
        <is>
          <t>Manufactor / Производитель:</t>
        </is>
      </c>
      <c r="R18" s="106" t="n"/>
      <c r="S18" s="6" t="n"/>
      <c r="Z18" s="201" t="n"/>
      <c r="AF18" s="100" t="n"/>
    </row>
    <row r="19" ht="15.75" customHeight="1" s="11">
      <c r="B19" s="21" t="inlineStr">
        <is>
          <t>Terms of delivery/Условия поставки: EXW Hangzhou, China / EXW Hangzhou, Китай</t>
        </is>
      </c>
      <c r="E19" s="22" t="n"/>
      <c r="F19" s="181" t="n"/>
      <c r="G19" s="26" t="n"/>
      <c r="H19" s="27" t="n"/>
      <c r="I19" s="179" t="inlineStr">
        <is>
          <t>HANGZHOU ZHONGFANG TEXTILE IMP./EXP. CO., LTD.</t>
        </is>
      </c>
      <c r="R19" s="106" t="n"/>
      <c r="S19" s="6" t="n"/>
      <c r="Z19" s="201" t="n"/>
      <c r="AF19" s="100" t="n"/>
    </row>
    <row r="20" ht="17.65" customHeight="1" s="11">
      <c r="B20" s="21" t="inlineStr">
        <is>
          <t>Delivery date/Сроки поставки: not later than/не позднее 19.09.2026</t>
        </is>
      </c>
      <c r="C20" s="28" t="n"/>
      <c r="D20" s="28" t="n"/>
      <c r="E20" s="52" t="n"/>
      <c r="F20" s="29" t="n"/>
      <c r="G20" s="30" t="n"/>
      <c r="H20" s="30" t="n"/>
      <c r="I20" s="212" t="n"/>
      <c r="J20" s="213" t="n"/>
      <c r="K20" s="117" t="n"/>
      <c r="L20" s="214" t="n"/>
      <c r="M20" s="32" t="n"/>
      <c r="N20" s="213" t="n"/>
      <c r="O20" s="7" t="n"/>
      <c r="P20" s="7" t="n"/>
      <c r="Q20" s="7" t="n"/>
      <c r="R20" s="105" t="n"/>
      <c r="S20" s="7" t="n"/>
      <c r="T20" s="7" t="n"/>
      <c r="U20" s="7" t="n"/>
      <c r="V20" s="7" t="n"/>
      <c r="W20" s="7" t="n"/>
      <c r="X20" s="7" t="n"/>
      <c r="Y20" s="7" t="n"/>
      <c r="Z20" s="200" t="n"/>
      <c r="AA20" s="7" t="n"/>
      <c r="AB20" s="7" t="n"/>
      <c r="AC20" s="7" t="n"/>
      <c r="AD20" s="7" t="n"/>
      <c r="AE20" s="7" t="n"/>
      <c r="AF20" s="99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</row>
    <row r="21" ht="11.25" customHeight="1" s="11">
      <c r="B21" s="21" t="n"/>
      <c r="C21" s="28" t="n"/>
      <c r="D21" s="28" t="n"/>
      <c r="E21" s="52" t="n"/>
      <c r="F21" s="29" t="n"/>
      <c r="G21" s="30" t="n"/>
      <c r="H21" s="30" t="n"/>
      <c r="I21" s="212" t="n"/>
      <c r="J21" s="213" t="n"/>
      <c r="K21" s="33" t="n"/>
      <c r="L21" s="215" t="n"/>
      <c r="M21" s="32" t="n"/>
      <c r="N21" s="213" t="n"/>
      <c r="O21" s="7" t="n"/>
      <c r="P21" s="7" t="n"/>
      <c r="Q21" s="7" t="n"/>
      <c r="R21" s="105" t="n"/>
      <c r="S21" s="7" t="n"/>
      <c r="T21" s="7" t="n"/>
      <c r="U21" s="7" t="n"/>
      <c r="V21" s="7" t="n"/>
      <c r="W21" s="7" t="n"/>
      <c r="X21" s="7" t="n"/>
      <c r="Y21" s="7" t="n"/>
      <c r="Z21" s="200" t="n"/>
      <c r="AA21" s="7" t="n"/>
      <c r="AB21" s="7" t="n"/>
      <c r="AC21" s="7" t="n"/>
      <c r="AD21" s="7" t="n"/>
      <c r="AE21" s="7" t="n"/>
      <c r="AF21" s="99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</row>
    <row r="22" ht="89.55" customFormat="1" customHeight="1" s="86">
      <c r="B22" s="79" t="inlineStr">
        <is>
          <t>№</t>
        </is>
      </c>
      <c r="C22" s="80" t="inlineStr">
        <is>
          <t>Q-Ty Rolls /  Кол-во рулонов</t>
        </is>
      </c>
      <c r="D22" s="79" t="inlineStr">
        <is>
          <t>Art./Артикул</t>
        </is>
      </c>
      <c r="E22" s="80" t="inlineStr">
        <is>
          <t>Product name / Наименование товара</t>
        </is>
      </c>
      <c r="F22" s="80" t="inlineStr">
        <is>
          <t>HS code / Код гармонизированной системы</t>
        </is>
      </c>
      <c r="G22" s="80" t="inlineStr">
        <is>
          <t>Customs code / Таможенный код</t>
        </is>
      </c>
      <c r="H22" s="216" t="inlineStr">
        <is>
          <t>Q-ty meters / Кол-во погонных метров</t>
        </is>
      </c>
      <c r="I22" s="216" t="inlineStr">
        <is>
          <t>Widht, m / Ширина, м</t>
        </is>
      </c>
      <c r="J22" s="217" t="inlineStr">
        <is>
          <t>Q-ty m2 / Кол-во кв.м</t>
        </is>
      </c>
      <c r="K22" s="83" t="inlineStr">
        <is>
          <t>N.W, kg / Вес Нетто, кг</t>
        </is>
      </c>
      <c r="L22" s="218" t="inlineStr">
        <is>
          <t>G.W, kg / Вес Брутто, кг</t>
        </is>
      </c>
      <c r="M22" s="82" t="inlineStr">
        <is>
          <t>Price per meter ￥/ Цена за пог. метр, Юань</t>
        </is>
      </c>
      <c r="N22" s="217" t="inlineStr">
        <is>
          <t>Total price, Y / Цена, Юань</t>
        </is>
      </c>
      <c r="R22" s="108" t="n"/>
      <c r="S22" s="119" t="inlineStr">
        <is>
          <t>дизайн</t>
        </is>
      </c>
      <c r="T22" s="110" t="inlineStr">
        <is>
          <t>тнвэд</t>
        </is>
      </c>
      <c r="U22" s="111" t="inlineStr">
        <is>
          <t>рол</t>
        </is>
      </c>
      <c r="V22" s="112" t="inlineStr">
        <is>
          <t>ширина рол</t>
        </is>
      </c>
      <c r="W22" s="113" t="inlineStr">
        <is>
          <t>итого м2</t>
        </is>
      </c>
      <c r="X22" s="219" t="inlineStr">
        <is>
          <t>метры пог</t>
        </is>
      </c>
      <c r="Y22" s="86" t="inlineStr">
        <is>
          <t>цена за м</t>
        </is>
      </c>
      <c r="Z22" s="220" t="inlineStr">
        <is>
          <t>тотал</t>
        </is>
      </c>
      <c r="AA22" s="86" t="inlineStr">
        <is>
          <t>нет</t>
        </is>
      </c>
      <c r="AB22" s="86" t="inlineStr">
        <is>
          <t>гросс</t>
        </is>
      </c>
      <c r="AF22" s="102" t="n"/>
      <c r="AG22" s="86" t="inlineStr">
        <is>
          <t>ТМ</t>
        </is>
      </c>
    </row>
    <row r="23" ht="63.75" customFormat="1" customHeight="1" s="87">
      <c r="B23" s="145" t="n">
        <v>1</v>
      </c>
      <c r="C23" s="120" t="n">
        <v>8</v>
      </c>
      <c r="D23" s="129" t="inlineStr">
        <is>
          <t>Melange 928</t>
        </is>
      </c>
      <c r="E23" s="104" t="inlineStr">
        <is>
          <t xml:space="preserve">Upholstery fabric from textured polyether yarns of different colors, made from: polyester - 100%. Ткань мебельная обивочная из текстурированных полиэфирных нитей разных цветов, состав полиэстер 100% </t>
        </is>
      </c>
      <c r="F23" s="121" t="inlineStr">
        <is>
          <t>5407530000</t>
        </is>
      </c>
      <c r="G23" s="121" t="inlineStr">
        <is>
          <t>5407530000</t>
        </is>
      </c>
      <c r="H23" s="94" t="n">
        <v>302.9</v>
      </c>
      <c r="I23" s="94" t="n">
        <v>1.41</v>
      </c>
      <c r="J23" s="221" t="n">
        <v>427.089</v>
      </c>
      <c r="K23" s="94" t="n"/>
      <c r="L23" s="94" t="n"/>
      <c r="M23" s="222" t="n">
        <v>22.5</v>
      </c>
      <c r="N23" s="222" t="n">
        <v>6815.25</v>
      </c>
      <c r="O23" s="136" t="inlineStr">
        <is>
          <t>5407530000</t>
        </is>
      </c>
      <c r="P23" s="137" t="inlineStr">
        <is>
          <t>КИТАЙ</t>
        </is>
      </c>
      <c r="Q23" s="137" t="inlineStr">
        <is>
          <t xml:space="preserve">HANGZHOU ZHONGFANG TEXTILE IMP/EXP.CO.,LTD    </t>
        </is>
      </c>
      <c r="R23" s="138" t="inlineStr">
        <is>
          <t xml:space="preserve">Upholstery fabric from textured polyether yarns of different colors, made from: polyester - 100%. Ткань мебельная обивочная из текстурированных полиэфирных нитей разных цветов, состав полиэстер 100% </t>
        </is>
      </c>
      <c r="S23" s="6" t="inlineStr">
        <is>
          <t>Melange 928</t>
        </is>
      </c>
      <c r="T23" s="139" t="inlineStr">
        <is>
          <t>5407530000</t>
        </is>
      </c>
      <c r="U23" s="140" t="n">
        <v>8</v>
      </c>
      <c r="V23" s="140" t="n">
        <v>1.41</v>
      </c>
      <c r="W23" s="141" t="n">
        <v>427.0889999999999</v>
      </c>
      <c r="X23" s="223" t="n">
        <v>302.9</v>
      </c>
      <c r="Y23" s="87" t="n">
        <v>22.5</v>
      </c>
      <c r="Z23" s="224">
        <f>X23*Y23</f>
        <v/>
      </c>
      <c r="AA23" s="225" t="n">
        <v>209.001</v>
      </c>
      <c r="AB23" s="226" t="n">
        <v>219.001</v>
      </c>
      <c r="AC23" s="135" t="inlineStr">
        <is>
          <t>01402</t>
        </is>
      </c>
      <c r="AD23" s="134" t="inlineStr">
        <is>
          <t>ЕАЭС N RU Д-CN.РА02.В.67501/25</t>
        </is>
      </c>
      <c r="AE23" s="130" t="n">
        <v>45742</v>
      </c>
      <c r="AF23" s="130" t="n">
        <v>47548</v>
      </c>
      <c r="AG23" s="133" t="inlineStr">
        <is>
          <t>HANGZHOU ZHONGFANG TEXTILE IMP./EXP. CO., LTD.</t>
        </is>
      </c>
    </row>
    <row r="24" ht="52.5" customFormat="1" customHeight="1" s="87">
      <c r="B24" s="145" t="n">
        <v>2</v>
      </c>
      <c r="C24" s="120" t="n">
        <v>15</v>
      </c>
      <c r="D24" s="129" t="inlineStr">
        <is>
          <t>Noble 110</t>
        </is>
      </c>
      <c r="E24" s="104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F24" s="121" t="inlineStr">
        <is>
          <t>5407610000</t>
        </is>
      </c>
      <c r="G24" s="121" t="inlineStr">
        <is>
          <t>5407613000</t>
        </is>
      </c>
      <c r="H24" s="94" t="n">
        <v>611.5</v>
      </c>
      <c r="I24" s="94" t="n">
        <v>1.42</v>
      </c>
      <c r="J24" s="221" t="n">
        <v>868.33</v>
      </c>
      <c r="K24" s="94" t="n"/>
      <c r="L24" s="94" t="n"/>
      <c r="M24" s="222" t="n">
        <v>43.8</v>
      </c>
      <c r="N24" s="222" t="n">
        <v>26783.7</v>
      </c>
      <c r="O24" s="136" t="inlineStr">
        <is>
          <t>5407613000</t>
        </is>
      </c>
      <c r="P24" s="137" t="inlineStr">
        <is>
          <t>КИТАЙ</t>
        </is>
      </c>
      <c r="Q24" s="137" t="inlineStr">
        <is>
          <t xml:space="preserve">HANGZHOU ZHONGFANG TEXTILE IMP/EXP.CO.,LTD    </t>
        </is>
      </c>
      <c r="R24" s="138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S24" s="6" t="inlineStr">
        <is>
          <t>Noble 110</t>
        </is>
      </c>
      <c r="T24" s="139" t="inlineStr">
        <is>
          <t>5407610000</t>
        </is>
      </c>
      <c r="U24" s="140" t="n">
        <v>15</v>
      </c>
      <c r="V24" s="140" t="n">
        <v>1.42</v>
      </c>
      <c r="W24" s="141" t="n">
        <v>868.3299999999999</v>
      </c>
      <c r="X24" s="223" t="n">
        <v>611.5</v>
      </c>
      <c r="Y24" s="87" t="n">
        <v>43.8</v>
      </c>
      <c r="Z24" s="224">
        <f>X24*Y24</f>
        <v/>
      </c>
      <c r="AA24" s="225" t="n">
        <v>580.925</v>
      </c>
      <c r="AB24" s="226" t="n">
        <v>597.269</v>
      </c>
      <c r="AC24" s="135" t="inlineStr">
        <is>
          <t>01402</t>
        </is>
      </c>
      <c r="AD24" s="134" t="inlineStr">
        <is>
          <t>ЕАЭС N RU Д-CN.РА02.В.67501/25</t>
        </is>
      </c>
      <c r="AE24" s="130" t="n">
        <v>45742</v>
      </c>
      <c r="AF24" s="130" t="n">
        <v>47548</v>
      </c>
      <c r="AG24" s="133" t="inlineStr">
        <is>
          <t>HANGZHOU ZHONGFANG TEXTILE IMP./EXP. CO., LTD.</t>
        </is>
      </c>
    </row>
    <row r="25" ht="36.75" customFormat="1" customHeight="1" s="162">
      <c r="B25" s="148" t="n">
        <v>3</v>
      </c>
      <c r="C25" s="149" t="n">
        <v>12</v>
      </c>
      <c r="D25" s="150" t="inlineStr">
        <is>
          <t>Noble 624</t>
        </is>
      </c>
      <c r="E25" s="151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F25" s="152" t="inlineStr">
        <is>
          <t>5407610000</t>
        </is>
      </c>
      <c r="G25" s="152" t="inlineStr">
        <is>
          <t>5407613000</t>
        </is>
      </c>
      <c r="H25" s="153" t="n">
        <v>507</v>
      </c>
      <c r="I25" s="153" t="n">
        <v>1.42</v>
      </c>
      <c r="J25" s="227" t="n">
        <v>719.9400000000001</v>
      </c>
      <c r="K25" s="153" t="n"/>
      <c r="L25" s="153" t="n"/>
      <c r="M25" s="228" t="n">
        <v>43.8</v>
      </c>
      <c r="N25" s="228" t="n">
        <v>22206.6</v>
      </c>
      <c r="O25" s="156" t="inlineStr">
        <is>
          <t>5407613000</t>
        </is>
      </c>
      <c r="P25" s="157" t="inlineStr">
        <is>
          <t>КИТАЙ</t>
        </is>
      </c>
      <c r="Q25" s="157" t="inlineStr">
        <is>
          <t xml:space="preserve">HANGZHOU ZHONGFANG TEXTILE IMP/EXP.CO.,LTD    </t>
        </is>
      </c>
      <c r="R25" s="158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S25" s="159" t="inlineStr">
        <is>
          <t>Noble 624</t>
        </is>
      </c>
      <c r="T25" s="139" t="inlineStr">
        <is>
          <t>5407610000</t>
        </is>
      </c>
      <c r="U25" s="160" t="n">
        <v>12</v>
      </c>
      <c r="V25" s="160" t="n">
        <v>1.42</v>
      </c>
      <c r="W25" s="141" t="n">
        <v>719.9399999999999</v>
      </c>
      <c r="X25" s="229" t="n">
        <v>507</v>
      </c>
      <c r="Y25" s="87" t="n">
        <v>43.8</v>
      </c>
      <c r="Z25" s="224">
        <f>X25*Y25</f>
        <v/>
      </c>
      <c r="AA25" s="230" t="n">
        <v>481.65</v>
      </c>
      <c r="AB25" s="231" t="n">
        <v>494.7252</v>
      </c>
      <c r="AC25" s="135" t="inlineStr">
        <is>
          <t>01402</t>
        </is>
      </c>
      <c r="AD25" s="134" t="inlineStr">
        <is>
          <t>ЕАЭС N RU Д-CN.РА02.В.67501/25</t>
        </is>
      </c>
      <c r="AE25" s="130" t="n">
        <v>45742</v>
      </c>
      <c r="AF25" s="130" t="n">
        <v>47548</v>
      </c>
      <c r="AG25" s="133" t="inlineStr">
        <is>
          <t>HANGZHOU ZHONGFANG TEXTILE IMP./EXP. CO., LTD.</t>
        </is>
      </c>
    </row>
    <row r="26" ht="43.5" customFormat="1" customHeight="1" s="162">
      <c r="B26" s="148" t="n">
        <v>4</v>
      </c>
      <c r="C26" s="149" t="n">
        <v>81</v>
      </c>
      <c r="D26" s="150" t="inlineStr">
        <is>
          <t>Omega 03</t>
        </is>
      </c>
      <c r="E26" s="151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F26" s="152" t="inlineStr">
        <is>
          <t>5407610000</t>
        </is>
      </c>
      <c r="G26" s="152" t="inlineStr">
        <is>
          <t>5407613000</t>
        </is>
      </c>
      <c r="H26" s="153" t="n">
        <v>3712.9</v>
      </c>
      <c r="I26" s="153" t="n">
        <v>1.44</v>
      </c>
      <c r="J26" s="227" t="n">
        <v>5346.576</v>
      </c>
      <c r="K26" s="153" t="n"/>
      <c r="L26" s="153" t="n"/>
      <c r="M26" s="228" t="n">
        <v>9.5</v>
      </c>
      <c r="N26" s="228" t="n">
        <v>35272.55</v>
      </c>
      <c r="O26" s="156" t="inlineStr">
        <is>
          <t>5407613000</t>
        </is>
      </c>
      <c r="P26" s="157" t="inlineStr">
        <is>
          <t>КИТАЙ</t>
        </is>
      </c>
      <c r="Q26" s="157" t="inlineStr">
        <is>
          <t xml:space="preserve">HANGZHOU ZHONGFANG TEXTILE IMP/EXP.CO.,LTD    </t>
        </is>
      </c>
      <c r="R26" s="158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S26" s="159" t="inlineStr">
        <is>
          <t>Omega 03</t>
        </is>
      </c>
      <c r="T26" s="139" t="inlineStr">
        <is>
          <t>5407610000</t>
        </is>
      </c>
      <c r="U26" s="160" t="n">
        <v>81</v>
      </c>
      <c r="V26" s="160" t="n">
        <v>1.44</v>
      </c>
      <c r="W26" s="141" t="n">
        <v>5346.576</v>
      </c>
      <c r="X26" s="229" t="n">
        <v>3712.9</v>
      </c>
      <c r="Y26" s="162" t="n">
        <v>9.5</v>
      </c>
      <c r="Z26" s="224">
        <f>X26*Y26</f>
        <v/>
      </c>
      <c r="AA26" s="230" t="n">
        <v>1559.418</v>
      </c>
      <c r="AB26" s="231" t="n">
        <v>1640.4018</v>
      </c>
      <c r="AC26" s="135" t="inlineStr">
        <is>
          <t>01402</t>
        </is>
      </c>
      <c r="AD26" s="134" t="inlineStr">
        <is>
          <t>ЕАЭС N RU Д-CN.РА02.В.67501/25</t>
        </is>
      </c>
      <c r="AE26" s="130" t="n">
        <v>45742</v>
      </c>
      <c r="AF26" s="130" t="n">
        <v>47548</v>
      </c>
      <c r="AG26" s="133" t="inlineStr">
        <is>
          <t>HANGZHOU ZHONGFANG TEXTILE IMP./EXP. CO., LTD.</t>
        </is>
      </c>
    </row>
    <row r="27" ht="59.25" customFormat="1" customHeight="1" s="162">
      <c r="B27" s="148" t="n">
        <v>5</v>
      </c>
      <c r="C27" s="149" t="n">
        <v>35</v>
      </c>
      <c r="D27" s="150" t="inlineStr">
        <is>
          <t>Omega 62</t>
        </is>
      </c>
      <c r="E27" s="151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F27" s="152" t="inlineStr">
        <is>
          <t>5407610000</t>
        </is>
      </c>
      <c r="G27" s="152" t="inlineStr">
        <is>
          <t>5407613000</t>
        </is>
      </c>
      <c r="H27" s="153" t="n">
        <v>1630</v>
      </c>
      <c r="I27" s="153" t="n">
        <v>1.44</v>
      </c>
      <c r="J27" s="227" t="n">
        <v>2347.2</v>
      </c>
      <c r="K27" s="153" t="n"/>
      <c r="L27" s="153" t="n"/>
      <c r="M27" s="228" t="n">
        <v>9.5</v>
      </c>
      <c r="N27" s="228" t="n">
        <v>15485</v>
      </c>
      <c r="O27" s="156" t="inlineStr">
        <is>
          <t>5407613000</t>
        </is>
      </c>
      <c r="P27" s="157" t="inlineStr">
        <is>
          <t>КИТАЙ</t>
        </is>
      </c>
      <c r="Q27" s="157" t="inlineStr">
        <is>
          <t xml:space="preserve">HANGZHOU ZHONGFANG TEXTILE IMP/EXP.CO.,LTD    </t>
        </is>
      </c>
      <c r="R27" s="158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S27" s="159" t="inlineStr">
        <is>
          <t>Omega 62</t>
        </is>
      </c>
      <c r="T27" s="139" t="inlineStr">
        <is>
          <t>5407610000</t>
        </is>
      </c>
      <c r="U27" s="160" t="n">
        <v>35</v>
      </c>
      <c r="V27" s="160" t="n">
        <v>1.44</v>
      </c>
      <c r="W27" s="165" t="n">
        <v>2347.2</v>
      </c>
      <c r="X27" s="229" t="n">
        <v>1630</v>
      </c>
      <c r="Y27" s="162" t="n">
        <v>9.5</v>
      </c>
      <c r="Z27" s="224">
        <f>X27*Y27</f>
        <v/>
      </c>
      <c r="AA27" s="230" t="n">
        <v>684.6</v>
      </c>
      <c r="AB27" s="231" t="n">
        <v>719.595</v>
      </c>
      <c r="AC27" s="135" t="inlineStr">
        <is>
          <t>01402</t>
        </is>
      </c>
      <c r="AD27" s="134" t="inlineStr">
        <is>
          <t>ЕАЭС N RU Д-CN.РА02.В.67501/25</t>
        </is>
      </c>
      <c r="AE27" s="130" t="n">
        <v>45742</v>
      </c>
      <c r="AF27" s="130" t="n">
        <v>47548</v>
      </c>
      <c r="AG27" s="133" t="inlineStr">
        <is>
          <t>HANGZHOU ZHONGFANG TEXTILE IMP./EXP. CO., LTD.</t>
        </is>
      </c>
    </row>
    <row r="28" ht="75.75" customFormat="1" customHeight="1" s="162">
      <c r="B28" s="148" t="n">
        <v>6</v>
      </c>
      <c r="C28" s="149" t="n">
        <v>6</v>
      </c>
      <c r="D28" s="150" t="inlineStr">
        <is>
          <t>Solo 794</t>
        </is>
      </c>
      <c r="E28" s="151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F28" s="152" t="inlineStr">
        <is>
          <t>5407610000</t>
        </is>
      </c>
      <c r="G28" s="152" t="inlineStr">
        <is>
          <t>5407730000</t>
        </is>
      </c>
      <c r="H28" s="153" t="n">
        <v>302.9</v>
      </c>
      <c r="I28" s="153" t="n">
        <v>1.48</v>
      </c>
      <c r="J28" s="227" t="n">
        <v>448.292</v>
      </c>
      <c r="K28" s="153" t="n"/>
      <c r="L28" s="153" t="n"/>
      <c r="M28" s="228" t="n">
        <v>19</v>
      </c>
      <c r="N28" s="228" t="n">
        <v>5755.1</v>
      </c>
      <c r="O28" s="156" t="inlineStr">
        <is>
          <t>5407730000</t>
        </is>
      </c>
      <c r="P28" s="157" t="inlineStr">
        <is>
          <t>КИТАЙ</t>
        </is>
      </c>
      <c r="Q28" s="157" t="inlineStr">
        <is>
          <t xml:space="preserve">HANGZHOU ZHONGFANG TEXTILE IMP/EXP.CO.,LTD    </t>
        </is>
      </c>
      <c r="R28" s="158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S28" s="159" t="inlineStr">
        <is>
          <t>Solo 794</t>
        </is>
      </c>
      <c r="T28" s="139" t="inlineStr">
        <is>
          <t>5407610000</t>
        </is>
      </c>
      <c r="U28" s="160" t="n">
        <v>6</v>
      </c>
      <c r="V28" s="160" t="n">
        <v>1.48</v>
      </c>
      <c r="W28" s="141" t="n">
        <v>448.292</v>
      </c>
      <c r="X28" s="229" t="n">
        <v>302.9</v>
      </c>
      <c r="Y28" s="162" t="n">
        <v>19</v>
      </c>
      <c r="Z28" s="224">
        <f>X28*Y28</f>
        <v/>
      </c>
      <c r="AA28" s="230" t="n">
        <v>99.95700000000001</v>
      </c>
      <c r="AB28" s="231" t="n">
        <v>106.6446</v>
      </c>
      <c r="AC28" s="135" t="inlineStr">
        <is>
          <t>01402</t>
        </is>
      </c>
      <c r="AD28" s="134" t="inlineStr">
        <is>
          <t>ЕАЭС N RU Д-CN.РА02.В.67501/25</t>
        </is>
      </c>
      <c r="AE28" s="130" t="n">
        <v>45742</v>
      </c>
      <c r="AF28" s="130" t="n">
        <v>47548</v>
      </c>
      <c r="AG28" s="133" t="inlineStr">
        <is>
          <t>HANGZHOU ZHONGFANG TEXTILE IMP./EXP. CO., LTD.</t>
        </is>
      </c>
    </row>
    <row r="29" ht="67.5" customFormat="1" customHeight="1" s="162">
      <c r="B29" s="148" t="n">
        <v>7</v>
      </c>
      <c r="C29" s="149" t="n">
        <v>7</v>
      </c>
      <c r="D29" s="150" t="inlineStr">
        <is>
          <t>Solo 992</t>
        </is>
      </c>
      <c r="E29" s="151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F29" s="152" t="inlineStr">
        <is>
          <t>5407610000</t>
        </is>
      </c>
      <c r="G29" s="152" t="inlineStr">
        <is>
          <t>5407730000</t>
        </is>
      </c>
      <c r="H29" s="153" t="n">
        <v>344.1</v>
      </c>
      <c r="I29" s="153" t="n">
        <v>1.48</v>
      </c>
      <c r="J29" s="227" t="n">
        <v>509.268</v>
      </c>
      <c r="K29" s="153" t="n"/>
      <c r="L29" s="153" t="n"/>
      <c r="M29" s="228" t="n">
        <v>19</v>
      </c>
      <c r="N29" s="228" t="n">
        <v>6537.9</v>
      </c>
      <c r="O29" s="156" t="inlineStr">
        <is>
          <t>5407730000</t>
        </is>
      </c>
      <c r="P29" s="157" t="inlineStr">
        <is>
          <t>КИТАЙ</t>
        </is>
      </c>
      <c r="Q29" s="157" t="inlineStr">
        <is>
          <t xml:space="preserve">HANGZHOU ZHONGFANG TEXTILE IMP/EXP.CO.,LTD    </t>
        </is>
      </c>
      <c r="R29" s="158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S29" s="159" t="inlineStr">
        <is>
          <t>Solo 992</t>
        </is>
      </c>
      <c r="T29" s="139" t="inlineStr">
        <is>
          <t>5407610000</t>
        </is>
      </c>
      <c r="U29" s="160" t="n">
        <v>7</v>
      </c>
      <c r="V29" s="160" t="n">
        <v>1.48</v>
      </c>
      <c r="W29" s="141" t="n">
        <v>509.268</v>
      </c>
      <c r="X29" s="229" t="n">
        <v>344.1</v>
      </c>
      <c r="Y29" s="162" t="n">
        <v>19</v>
      </c>
      <c r="Z29" s="224">
        <f>X29*Y29</f>
        <v/>
      </c>
      <c r="AA29" s="230" t="n">
        <v>113.553</v>
      </c>
      <c r="AB29" s="231" t="n">
        <v>121.3552</v>
      </c>
      <c r="AC29" s="135" t="inlineStr">
        <is>
          <t>01402</t>
        </is>
      </c>
      <c r="AD29" s="134" t="inlineStr">
        <is>
          <t>ЕАЭС N RU Д-CN.РА02.В.67501/25</t>
        </is>
      </c>
      <c r="AE29" s="130" t="n">
        <v>45742</v>
      </c>
      <c r="AF29" s="130" t="n">
        <v>47548</v>
      </c>
      <c r="AG29" s="133" t="inlineStr">
        <is>
          <t>HANGZHOU ZHONGFANG TEXTILE IMP./EXP. CO., LTD.</t>
        </is>
      </c>
    </row>
    <row r="30" ht="65.25" customFormat="1" customHeight="1" s="162">
      <c r="B30" s="148" t="n">
        <v>8</v>
      </c>
      <c r="C30" s="149" t="n">
        <v>26</v>
      </c>
      <c r="D30" s="150" t="inlineStr">
        <is>
          <t>Danco 100</t>
        </is>
      </c>
      <c r="E30" s="151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F30" s="152" t="inlineStr">
        <is>
          <t>5801330000</t>
        </is>
      </c>
      <c r="G30" s="152" t="inlineStr">
        <is>
          <t>5407613000</t>
        </is>
      </c>
      <c r="H30" s="153" t="n">
        <v>1268.5</v>
      </c>
      <c r="I30" s="153" t="n">
        <v>1.42</v>
      </c>
      <c r="J30" s="227" t="n">
        <v>1801.27</v>
      </c>
      <c r="K30" s="153" t="n"/>
      <c r="L30" s="153" t="n"/>
      <c r="M30" s="228" t="n">
        <v>12.1</v>
      </c>
      <c r="N30" s="228" t="n">
        <v>15348.85</v>
      </c>
      <c r="O30" s="156" t="inlineStr">
        <is>
          <t>5407613000</t>
        </is>
      </c>
      <c r="P30" s="157" t="inlineStr">
        <is>
          <t>КИТАЙ</t>
        </is>
      </c>
      <c r="Q30" s="157" t="inlineStr">
        <is>
          <t xml:space="preserve">HANGZHOU ZHONGFANG TEXTILE IMP/EXP.CO.,LTD    </t>
        </is>
      </c>
      <c r="R30" s="158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S30" s="159" t="inlineStr">
        <is>
          <t>Danco 100</t>
        </is>
      </c>
      <c r="T30" s="139" t="inlineStr">
        <is>
          <t>5801330000</t>
        </is>
      </c>
      <c r="U30" s="160" t="n">
        <v>26</v>
      </c>
      <c r="V30" s="160" t="n">
        <v>1.42</v>
      </c>
      <c r="W30" s="141" t="n">
        <v>1801.27</v>
      </c>
      <c r="X30" s="229" t="n">
        <v>1268.5</v>
      </c>
      <c r="Y30" s="162" t="n">
        <v>12.1</v>
      </c>
      <c r="Z30" s="224">
        <f>X30*Y30</f>
        <v/>
      </c>
      <c r="AA30" s="230" t="n">
        <v>558.1399999999999</v>
      </c>
      <c r="AB30" s="231" t="n">
        <v>584.2465999999999</v>
      </c>
      <c r="AC30" s="135" t="inlineStr">
        <is>
          <t>01402</t>
        </is>
      </c>
      <c r="AD30" s="134" t="inlineStr">
        <is>
          <t>ЕАЭС N RU Д-CN.РА02.В.67501/25</t>
        </is>
      </c>
      <c r="AE30" s="130" t="n">
        <v>45742</v>
      </c>
      <c r="AF30" s="130" t="n">
        <v>47548</v>
      </c>
      <c r="AG30" s="133" t="inlineStr">
        <is>
          <t>HANGZHOU ZHONGFANG TEXTILE IMP./EXP. CO., LTD.</t>
        </is>
      </c>
    </row>
    <row r="31" ht="65.25" customFormat="1" customHeight="1" s="87">
      <c r="B31" s="145" t="n">
        <v>9</v>
      </c>
      <c r="C31" s="120" t="n">
        <v>11</v>
      </c>
      <c r="D31" s="129" t="inlineStr">
        <is>
          <t>Danco 297</t>
        </is>
      </c>
      <c r="E31" s="104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F31" s="121" t="inlineStr">
        <is>
          <t>5801330000</t>
        </is>
      </c>
      <c r="G31" s="121" t="inlineStr">
        <is>
          <t>5407613000</t>
        </is>
      </c>
      <c r="H31" s="94" t="n">
        <v>535.7</v>
      </c>
      <c r="I31" s="94" t="n">
        <v>1.42</v>
      </c>
      <c r="J31" s="221" t="n">
        <v>760.694</v>
      </c>
      <c r="K31" s="94" t="n"/>
      <c r="L31" s="94" t="n"/>
      <c r="M31" s="222" t="n">
        <v>12.1</v>
      </c>
      <c r="N31" s="222" t="n">
        <v>6481.97</v>
      </c>
      <c r="O31" s="156" t="inlineStr">
        <is>
          <t>5407613000</t>
        </is>
      </c>
      <c r="P31" s="137" t="inlineStr">
        <is>
          <t>КИТАЙ</t>
        </is>
      </c>
      <c r="Q31" s="137" t="inlineStr">
        <is>
          <t xml:space="preserve">HANGZHOU ZHONGFANG TEXTILE IMP/EXP.CO.,LTD    </t>
        </is>
      </c>
      <c r="R31" s="158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S31" s="6" t="inlineStr">
        <is>
          <t>Danco 297</t>
        </is>
      </c>
      <c r="T31" s="139" t="inlineStr">
        <is>
          <t>5801330000</t>
        </is>
      </c>
      <c r="U31" s="140" t="n">
        <v>11</v>
      </c>
      <c r="V31" s="160" t="n">
        <v>1.42</v>
      </c>
      <c r="W31" s="141" t="n">
        <v>760.6940000000001</v>
      </c>
      <c r="X31" s="223" t="n">
        <v>535.7</v>
      </c>
      <c r="Y31" s="162" t="n">
        <v>12.1</v>
      </c>
      <c r="Z31" s="224">
        <f>X31*Y31</f>
        <v/>
      </c>
      <c r="AA31" s="225" t="n">
        <v>235.708</v>
      </c>
      <c r="AB31" s="226" t="n">
        <v>246.7531</v>
      </c>
      <c r="AC31" s="135" t="inlineStr">
        <is>
          <t>01402</t>
        </is>
      </c>
      <c r="AD31" s="134" t="inlineStr">
        <is>
          <t>ЕАЭС N RU Д-CN.РА02.В.67501/25</t>
        </is>
      </c>
      <c r="AE31" s="130" t="n">
        <v>45742</v>
      </c>
      <c r="AF31" s="130" t="n">
        <v>47548</v>
      </c>
      <c r="AG31" s="133" t="inlineStr">
        <is>
          <t>HANGZHOU ZHONGFANG TEXTILE IMP./EXP. CO., LTD.</t>
        </is>
      </c>
    </row>
    <row r="32" ht="65.25" customFormat="1" customHeight="1" s="87">
      <c r="B32" s="145" t="n">
        <v>10</v>
      </c>
      <c r="C32" s="120" t="n">
        <v>7</v>
      </c>
      <c r="D32" s="129" t="inlineStr">
        <is>
          <t>Oscar 978</t>
        </is>
      </c>
      <c r="E32" s="104" t="inlineStr">
        <is>
          <t>Upholstered furniture fabric made from chenille pile, such as chinillo, fine-weave weave, composition 100% polyester/Ткань мебельная обивочная из синели ворсовая, типа шинилл , мелкоузорчатого переплетения, состав 100% полиэстер</t>
        </is>
      </c>
      <c r="F32" s="121" t="inlineStr">
        <is>
          <t>5801360000</t>
        </is>
      </c>
      <c r="G32" s="121" t="inlineStr">
        <is>
          <t>5801360000</t>
        </is>
      </c>
      <c r="H32" s="94" t="n">
        <v>308.8</v>
      </c>
      <c r="I32" s="94" t="n">
        <v>1.43</v>
      </c>
      <c r="J32" s="221" t="n">
        <v>441.584</v>
      </c>
      <c r="K32" s="94" t="n"/>
      <c r="L32" s="94" t="n"/>
      <c r="M32" s="222" t="n">
        <v>22.9</v>
      </c>
      <c r="N32" s="222" t="n">
        <v>7071.52</v>
      </c>
      <c r="O32" s="156" t="inlineStr">
        <is>
          <t>5801360000</t>
        </is>
      </c>
      <c r="P32" s="137" t="inlineStr">
        <is>
          <t>КИТАЙ</t>
        </is>
      </c>
      <c r="Q32" s="137" t="inlineStr">
        <is>
          <t xml:space="preserve">HANGZHOU ZHONGFANG TEXTILE IMP/EXP.CO.,LTD    </t>
        </is>
      </c>
      <c r="R32" s="158" t="inlineStr">
        <is>
          <t>Upholstered furniture fabric made from chenille pile, such as chinillo, fine-weave weave, composition 100% polyester/Ткань мебельная обивочная из синели ворсовая, типа шинилл , мелкоузорчатого переплетения, состав 100% полиэстер</t>
        </is>
      </c>
      <c r="S32" s="6" t="inlineStr">
        <is>
          <t>Oscar 978</t>
        </is>
      </c>
      <c r="T32" s="139" t="inlineStr">
        <is>
          <t>5801360000</t>
        </is>
      </c>
      <c r="U32" s="140" t="n">
        <v>7</v>
      </c>
      <c r="V32" s="160" t="n">
        <v>1.43</v>
      </c>
      <c r="W32" s="141" t="n">
        <v>441.584</v>
      </c>
      <c r="X32" s="223" t="n">
        <v>308.8</v>
      </c>
      <c r="Y32" s="162" t="n">
        <v>22.9</v>
      </c>
      <c r="Z32" s="224">
        <f>X32*Y32</f>
        <v/>
      </c>
      <c r="AA32" s="225" t="n">
        <v>197.632</v>
      </c>
      <c r="AB32" s="226" t="n">
        <v>205.0023</v>
      </c>
      <c r="AC32" s="135" t="inlineStr">
        <is>
          <t>01402</t>
        </is>
      </c>
      <c r="AD32" s="134" t="inlineStr">
        <is>
          <t>ЕАЭС N RU Д-CN.РА01.В.33381/23</t>
        </is>
      </c>
      <c r="AE32" s="130" t="n">
        <v>44957</v>
      </c>
      <c r="AF32" s="130" t="n">
        <v>46775</v>
      </c>
      <c r="AG32" s="133" t="inlineStr">
        <is>
          <t>HANGZHOU ZHONGFANG TEXTILE IMP./EXP. CO., LTD.</t>
        </is>
      </c>
    </row>
    <row r="33" ht="65.25" customFormat="1" customHeight="1" s="87">
      <c r="B33" s="145" t="n">
        <v>11</v>
      </c>
      <c r="C33" s="120" t="n">
        <v>28</v>
      </c>
      <c r="D33" s="129" t="inlineStr">
        <is>
          <t>Umbra 110</t>
        </is>
      </c>
      <c r="E33" s="104" t="inlineStr">
        <is>
          <t>Upholstery fabric, chenille,  made from: polyester - 100%. Ткань мебельная обивочная ворсовая из химических синельных нитей, состав: 100% полиэстер</t>
        </is>
      </c>
      <c r="F33" s="121" t="inlineStr">
        <is>
          <t>5801360000</t>
        </is>
      </c>
      <c r="G33" s="121" t="inlineStr">
        <is>
          <t>5801360000</t>
        </is>
      </c>
      <c r="H33" s="94" t="n">
        <v>1001.6</v>
      </c>
      <c r="I33" s="94" t="n">
        <v>1.42</v>
      </c>
      <c r="J33" s="221" t="n">
        <v>1422.272</v>
      </c>
      <c r="K33" s="94" t="n"/>
      <c r="L33" s="94" t="n"/>
      <c r="M33" s="222" t="n">
        <v>12.4</v>
      </c>
      <c r="N33" s="222" t="n">
        <v>12419.84</v>
      </c>
      <c r="O33" s="156" t="inlineStr">
        <is>
          <t>5801360000</t>
        </is>
      </c>
      <c r="P33" s="137" t="inlineStr">
        <is>
          <t>КИТАЙ</t>
        </is>
      </c>
      <c r="Q33" s="137" t="inlineStr">
        <is>
          <t xml:space="preserve">HANGZHOU ZHONGFANG TEXTILE IMP/EXP.CO.,LTD    </t>
        </is>
      </c>
      <c r="R33" s="158" t="inlineStr">
        <is>
          <t>Upholstery fabric, chenille,  made from: polyester - 100%. Ткань мебельная обивочная ворсовая из химических синельных нитей, состав: 100% полиэстер</t>
        </is>
      </c>
      <c r="S33" s="6" t="inlineStr">
        <is>
          <t>Umbra 110</t>
        </is>
      </c>
      <c r="T33" s="139" t="inlineStr">
        <is>
          <t>5801360000</t>
        </is>
      </c>
      <c r="U33" s="140" t="n">
        <v>28</v>
      </c>
      <c r="V33" s="160" t="n">
        <v>1.42</v>
      </c>
      <c r="W33" s="141" t="n">
        <v>1422.272</v>
      </c>
      <c r="X33" s="223" t="n">
        <v>1001.6</v>
      </c>
      <c r="Y33" s="162" t="n">
        <v>12.4</v>
      </c>
      <c r="Z33" s="224">
        <f>X33*Y33</f>
        <v/>
      </c>
      <c r="AA33" s="225" t="n">
        <v>480.7679999999999</v>
      </c>
      <c r="AB33" s="226" t="n">
        <v>509.9971999999999</v>
      </c>
      <c r="AC33" s="135" t="inlineStr">
        <is>
          <t>01402</t>
        </is>
      </c>
      <c r="AD33" s="134" t="inlineStr">
        <is>
          <t>ЕАЭС N RU Д-CN.РА01.В.33381/23</t>
        </is>
      </c>
      <c r="AE33" s="130" t="n">
        <v>44957</v>
      </c>
      <c r="AF33" s="130" t="n">
        <v>46775</v>
      </c>
      <c r="AG33" s="133" t="inlineStr">
        <is>
          <t>HANGZHOU ZHONGFANG TEXTILE IMP./EXP. CO., LTD.</t>
        </is>
      </c>
    </row>
    <row r="34" ht="71.65000000000001" customFormat="1" customHeight="1" s="87">
      <c r="B34" s="145" t="n">
        <v>12</v>
      </c>
      <c r="C34" s="120" t="n">
        <v>10</v>
      </c>
      <c r="D34" s="129" t="inlineStr">
        <is>
          <t>Lambre 402</t>
        </is>
      </c>
      <c r="E34" s="104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F34" s="121" t="inlineStr">
        <is>
          <t>6001920000</t>
        </is>
      </c>
      <c r="G34" s="121" t="inlineStr">
        <is>
          <t>6001920000</t>
        </is>
      </c>
      <c r="H34" s="94" t="n">
        <v>423.2</v>
      </c>
      <c r="I34" s="94" t="n">
        <v>1.42</v>
      </c>
      <c r="J34" s="221" t="n">
        <v>600.944</v>
      </c>
      <c r="K34" s="94" t="n"/>
      <c r="L34" s="94" t="n"/>
      <c r="M34" s="222" t="n">
        <v>24.6</v>
      </c>
      <c r="N34" s="222" t="n">
        <v>10410.72</v>
      </c>
      <c r="O34" s="156" t="inlineStr">
        <is>
          <t>6001920000</t>
        </is>
      </c>
      <c r="P34" s="137" t="inlineStr">
        <is>
          <t>КИТАЙ</t>
        </is>
      </c>
      <c r="Q34" s="137" t="inlineStr">
        <is>
          <t xml:space="preserve">HANGZHOU ZHONGFANG TEXTILE IMP/EXP.CO.,LTD    </t>
        </is>
      </c>
      <c r="R34" s="158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S34" s="6" t="inlineStr">
        <is>
          <t>Lambre 402</t>
        </is>
      </c>
      <c r="T34" s="139" t="inlineStr">
        <is>
          <t>6001920000</t>
        </is>
      </c>
      <c r="U34" s="140" t="n">
        <v>10</v>
      </c>
      <c r="V34" s="160" t="n">
        <v>1.42</v>
      </c>
      <c r="W34" s="141" t="n">
        <v>600.944</v>
      </c>
      <c r="X34" s="223" t="n">
        <v>423.2</v>
      </c>
      <c r="Y34" s="162" t="n">
        <v>24.6</v>
      </c>
      <c r="Z34" s="224">
        <f>X34*Y34</f>
        <v/>
      </c>
      <c r="AA34" s="225" t="n">
        <v>304.704</v>
      </c>
      <c r="AB34" s="226" t="n">
        <v>315.852</v>
      </c>
      <c r="AC34" s="135" t="inlineStr">
        <is>
          <t>01402</t>
        </is>
      </c>
      <c r="AD34" s="134" t="inlineStr">
        <is>
          <t>ЕАЭС N RU Д-CN.РА01.В.33115/23</t>
        </is>
      </c>
      <c r="AE34" s="130" t="n">
        <v>44957</v>
      </c>
      <c r="AF34" s="130" t="n">
        <v>46775</v>
      </c>
      <c r="AG34" s="133" t="inlineStr">
        <is>
          <t>HANGZHOU ZHONGFANG TEXTILE IMP./EXP. CO., LTD.</t>
        </is>
      </c>
    </row>
    <row r="35" ht="70.90000000000001" customFormat="1" customHeight="1" s="87">
      <c r="B35" s="145" t="n">
        <v>13</v>
      </c>
      <c r="C35" s="120" t="n">
        <v>17</v>
      </c>
      <c r="D35" s="129" t="inlineStr">
        <is>
          <t>Lambre 740</t>
        </is>
      </c>
      <c r="E35" s="104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F35" s="121" t="inlineStr">
        <is>
          <t>6001920000</t>
        </is>
      </c>
      <c r="G35" s="121" t="inlineStr">
        <is>
          <t>6001920000</t>
        </is>
      </c>
      <c r="H35" s="94" t="n">
        <v>722.5</v>
      </c>
      <c r="I35" s="94" t="n">
        <v>1.42</v>
      </c>
      <c r="J35" s="221" t="n">
        <v>1025.95</v>
      </c>
      <c r="K35" s="94" t="n"/>
      <c r="L35" s="94" t="n"/>
      <c r="M35" s="222" t="n">
        <v>24.6</v>
      </c>
      <c r="N35" s="222" t="n">
        <v>17773.5</v>
      </c>
      <c r="O35" s="136" t="inlineStr">
        <is>
          <t>6001920000</t>
        </is>
      </c>
      <c r="P35" s="137" t="inlineStr">
        <is>
          <t>КИТАЙ</t>
        </is>
      </c>
      <c r="Q35" s="137" t="inlineStr">
        <is>
          <t xml:space="preserve">HANGZHOU ZHONGFANG TEXTILE IMP/EXP.CO.,LTD    </t>
        </is>
      </c>
      <c r="R35" s="138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S35" s="6" t="inlineStr">
        <is>
          <t>Lambre 740</t>
        </is>
      </c>
      <c r="T35" s="139" t="inlineStr">
        <is>
          <t>6001920000</t>
        </is>
      </c>
      <c r="U35" s="140" t="n">
        <v>17</v>
      </c>
      <c r="V35" s="140" t="n">
        <v>1.42</v>
      </c>
      <c r="W35" s="141" t="n">
        <v>1025.95</v>
      </c>
      <c r="X35" s="223" t="n">
        <v>722.5</v>
      </c>
      <c r="Y35" s="87" t="n">
        <v>24.6</v>
      </c>
      <c r="Z35" s="224">
        <f>X35*Y35</f>
        <v/>
      </c>
      <c r="AA35" s="225" t="n">
        <v>520.1999999999999</v>
      </c>
      <c r="AB35" s="226" t="n">
        <v>539.1516</v>
      </c>
      <c r="AC35" s="135" t="inlineStr">
        <is>
          <t>01402</t>
        </is>
      </c>
      <c r="AD35" s="134" t="inlineStr">
        <is>
          <t>ЕАЭС N RU Д-CN.РА01.В.33115/23</t>
        </is>
      </c>
      <c r="AE35" s="130" t="n">
        <v>44957</v>
      </c>
      <c r="AF35" s="130" t="n">
        <v>46775</v>
      </c>
      <c r="AG35" s="133" t="inlineStr">
        <is>
          <t>HANGZHOU ZHONGFANG TEXTILE IMP./EXP. CO., LTD.</t>
        </is>
      </c>
    </row>
    <row r="36" ht="19.5" customHeight="1" s="11">
      <c r="B36" s="95" t="inlineStr">
        <is>
          <t>Total/Итого:</t>
        </is>
      </c>
      <c r="C36" s="96" t="n">
        <v>263</v>
      </c>
      <c r="D36" s="96" t="n"/>
      <c r="E36" s="97" t="n"/>
      <c r="F36" s="79" t="n"/>
      <c r="G36" s="79" t="n"/>
      <c r="H36" s="90" t="n">
        <v>11671.6</v>
      </c>
      <c r="I36" s="232" t="n"/>
      <c r="J36" s="233" t="n">
        <v>16719.409</v>
      </c>
      <c r="K36" s="90" t="n">
        <v>0</v>
      </c>
      <c r="L36" s="90" t="n">
        <v>0</v>
      </c>
      <c r="M36" s="234" t="n"/>
      <c r="N36" s="90" t="n">
        <v>188362.5</v>
      </c>
      <c r="O36" s="92" t="n"/>
      <c r="P36" s="92" t="n"/>
      <c r="Q36" s="92" t="n"/>
      <c r="R36" s="235" t="n"/>
      <c r="T36" s="92" t="n"/>
      <c r="U36" s="7" t="n"/>
      <c r="V36" s="92" t="n"/>
      <c r="W36" s="92" t="n"/>
      <c r="X36" s="99" t="n"/>
      <c r="Y36" s="92" t="n"/>
      <c r="Z36" s="92" t="n"/>
      <c r="AA36" s="92" t="n"/>
      <c r="AB36" s="92" t="n"/>
      <c r="AC36" s="92" t="n"/>
      <c r="AD36" s="92" t="n"/>
      <c r="AE36" s="92" t="n"/>
      <c r="AF36" s="92" t="n"/>
      <c r="AG36" s="92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6" t="n"/>
      <c r="DX36" s="6" t="n"/>
      <c r="DY36" s="6" t="n"/>
      <c r="DZ36" s="6" t="n"/>
      <c r="EA36" s="6" t="n"/>
      <c r="EB36" s="6" t="n"/>
      <c r="EC36" s="6" t="n"/>
      <c r="ED36" s="6" t="n"/>
      <c r="EE36" s="6" t="n"/>
      <c r="EF36" s="6" t="n"/>
      <c r="EG36" s="6" t="n"/>
      <c r="EH36" s="6" t="n"/>
      <c r="EI36" s="6" t="n"/>
      <c r="EJ36" s="6" t="n"/>
      <c r="EK36" s="6" t="n"/>
      <c r="EL36" s="6" t="n"/>
      <c r="EM36" s="6" t="n"/>
      <c r="EN36" s="6" t="n"/>
      <c r="EO36" s="6" t="n"/>
      <c r="EP36" s="6" t="n"/>
      <c r="EQ36" s="6" t="n"/>
      <c r="ER36" s="6" t="n"/>
      <c r="ES36" s="6" t="n"/>
      <c r="ET36" s="6" t="n"/>
      <c r="EU36" s="6" t="n"/>
      <c r="EV36" s="6" t="n"/>
      <c r="EW36" s="6" t="n"/>
      <c r="EX36" s="6" t="n"/>
      <c r="EY36" s="6" t="n"/>
      <c r="EZ36" s="6" t="n"/>
      <c r="FA36" s="6" t="n"/>
      <c r="FB36" s="6" t="n"/>
      <c r="FC36" s="6" t="n"/>
      <c r="FD36" s="6" t="n"/>
      <c r="FE36" s="6" t="n"/>
      <c r="FF36" s="6" t="n"/>
      <c r="FG36" s="6" t="n"/>
      <c r="FH36" s="6" t="n"/>
      <c r="FI36" s="6" t="n"/>
      <c r="FJ36" s="6" t="n"/>
      <c r="FK36" s="6" t="n"/>
      <c r="FL36" s="6" t="n"/>
      <c r="FM36" s="6" t="n"/>
      <c r="FN36" s="6" t="n"/>
      <c r="FO36" s="6" t="n"/>
      <c r="FP36" s="6" t="n"/>
      <c r="FQ36" s="6" t="n"/>
      <c r="FR36" s="6" t="n"/>
      <c r="FS36" s="6" t="n"/>
      <c r="FT36" s="6" t="n"/>
      <c r="FU36" s="6" t="n"/>
      <c r="FV36" s="6" t="n"/>
      <c r="FW36" s="6" t="n"/>
      <c r="FX36" s="6" t="n"/>
      <c r="FY36" s="6" t="n"/>
      <c r="FZ36" s="6" t="n"/>
      <c r="GA36" s="6" t="n"/>
      <c r="GB36" s="6" t="n"/>
      <c r="GC36" s="6" t="n"/>
      <c r="GD36" s="6" t="n"/>
      <c r="GE36" s="6" t="n"/>
      <c r="GF36" s="6" t="n"/>
      <c r="GG36" s="6" t="n"/>
      <c r="GH36" s="6" t="n"/>
      <c r="GI36" s="6" t="n"/>
      <c r="GJ36" s="6" t="n"/>
      <c r="GK36" s="6" t="n"/>
      <c r="GL36" s="6" t="n"/>
      <c r="GM36" s="6" t="n"/>
      <c r="GN36" s="6" t="n"/>
    </row>
    <row r="37" ht="24" customHeight="1" s="11">
      <c r="B37" s="34" t="n"/>
      <c r="C37" s="34" t="n"/>
      <c r="D37" s="34" t="n"/>
      <c r="E37" s="53" t="n"/>
      <c r="F37" s="35" t="n"/>
      <c r="G37" s="35" t="n"/>
      <c r="H37" s="236" t="n"/>
      <c r="I37" s="236" t="n"/>
      <c r="J37" s="237" t="n"/>
      <c r="K37" s="58" t="n"/>
      <c r="L37" s="238" t="n"/>
      <c r="M37" s="236" t="n"/>
      <c r="N37" s="237" t="n"/>
      <c r="O37" s="7" t="n"/>
      <c r="P37" s="7" t="n"/>
      <c r="Q37" s="7" t="n"/>
      <c r="R37" s="200" t="n"/>
      <c r="T37" s="7" t="n"/>
      <c r="U37" s="7" t="n"/>
      <c r="V37" s="7" t="n"/>
      <c r="W37" s="7" t="n"/>
      <c r="X37" s="99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6" t="n"/>
      <c r="DX37" s="6" t="n"/>
      <c r="DY37" s="6" t="n"/>
      <c r="DZ37" s="6" t="n"/>
      <c r="EA37" s="6" t="n"/>
      <c r="EB37" s="6" t="n"/>
      <c r="EC37" s="6" t="n"/>
      <c r="ED37" s="6" t="n"/>
      <c r="EE37" s="6" t="n"/>
      <c r="EF37" s="6" t="n"/>
      <c r="EG37" s="6" t="n"/>
      <c r="EH37" s="6" t="n"/>
      <c r="EI37" s="6" t="n"/>
      <c r="EJ37" s="6" t="n"/>
      <c r="EK37" s="6" t="n"/>
      <c r="EL37" s="6" t="n"/>
      <c r="EM37" s="6" t="n"/>
      <c r="EN37" s="6" t="n"/>
      <c r="EO37" s="6" t="n"/>
      <c r="EP37" s="6" t="n"/>
      <c r="EQ37" s="6" t="n"/>
      <c r="ER37" s="6" t="n"/>
      <c r="ES37" s="6" t="n"/>
      <c r="ET37" s="6" t="n"/>
      <c r="EU37" s="6" t="n"/>
      <c r="EV37" s="6" t="n"/>
      <c r="EW37" s="6" t="n"/>
      <c r="EX37" s="6" t="n"/>
      <c r="EY37" s="6" t="n"/>
      <c r="EZ37" s="6" t="n"/>
      <c r="FA37" s="6" t="n"/>
      <c r="FB37" s="6" t="n"/>
      <c r="FC37" s="6" t="n"/>
      <c r="FD37" s="6" t="n"/>
      <c r="FE37" s="6" t="n"/>
      <c r="FF37" s="6" t="n"/>
      <c r="FG37" s="6" t="n"/>
      <c r="FH37" s="6" t="n"/>
      <c r="FI37" s="6" t="n"/>
      <c r="FJ37" s="6" t="n"/>
      <c r="FK37" s="6" t="n"/>
      <c r="FL37" s="6" t="n"/>
      <c r="FM37" s="6" t="n"/>
      <c r="FN37" s="6" t="n"/>
      <c r="FO37" s="6" t="n"/>
      <c r="FP37" s="6" t="n"/>
      <c r="FQ37" s="6" t="n"/>
      <c r="FR37" s="6" t="n"/>
      <c r="FS37" s="6" t="n"/>
      <c r="FT37" s="6" t="n"/>
      <c r="FU37" s="6" t="n"/>
      <c r="FV37" s="6" t="n"/>
      <c r="FW37" s="6" t="n"/>
      <c r="FX37" s="6" t="n"/>
      <c r="FY37" s="6" t="n"/>
      <c r="FZ37" s="6" t="n"/>
      <c r="GA37" s="6" t="n"/>
      <c r="GB37" s="6" t="n"/>
      <c r="GC37" s="6" t="n"/>
      <c r="GD37" s="6" t="n"/>
      <c r="GE37" s="6" t="n"/>
      <c r="GF37" s="6" t="n"/>
      <c r="GG37" s="6" t="n"/>
      <c r="GH37" s="6" t="n"/>
      <c r="GI37" s="6" t="n"/>
      <c r="GJ37" s="6" t="n"/>
      <c r="GK37" s="6" t="n"/>
      <c r="GL37" s="6" t="n"/>
      <c r="GM37" s="6" t="n"/>
      <c r="GN37" s="6" t="n"/>
    </row>
    <row r="38" ht="16.5" customHeight="1" s="11">
      <c r="C38" s="182" t="inlineStr">
        <is>
          <t>Продавец:</t>
        </is>
      </c>
      <c r="D38" s="182" t="n"/>
      <c r="E38" s="54" t="n"/>
      <c r="F38" s="38" t="n"/>
      <c r="G38" s="38" t="n"/>
      <c r="H38" s="6" t="n"/>
      <c r="I38" s="182" t="inlineStr">
        <is>
          <t>Seller:</t>
        </is>
      </c>
      <c r="J38" s="237" t="n"/>
      <c r="K38" s="58" t="n"/>
      <c r="L38" s="238" t="n"/>
      <c r="M38" s="58" t="n"/>
      <c r="N38" s="237" t="n"/>
      <c r="O38" s="6" t="n"/>
      <c r="P38" s="6" t="n"/>
      <c r="Q38" s="6" t="n"/>
      <c r="R38" s="204" t="n"/>
      <c r="T38" s="6" t="n"/>
      <c r="U38" s="7" t="n"/>
      <c r="V38" s="7" t="n"/>
      <c r="W38" s="7" t="n"/>
      <c r="X38" s="99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6" t="n"/>
      <c r="DX38" s="6" t="n"/>
      <c r="DY38" s="6" t="n"/>
      <c r="DZ38" s="6" t="n"/>
      <c r="EA38" s="6" t="n"/>
      <c r="EB38" s="6" t="n"/>
      <c r="EC38" s="6" t="n"/>
      <c r="ED38" s="6" t="n"/>
      <c r="EE38" s="6" t="n"/>
      <c r="EF38" s="6" t="n"/>
      <c r="EG38" s="6" t="n"/>
      <c r="EH38" s="6" t="n"/>
      <c r="EI38" s="6" t="n"/>
      <c r="EJ38" s="6" t="n"/>
      <c r="EK38" s="6" t="n"/>
      <c r="EL38" s="6" t="n"/>
      <c r="EM38" s="6" t="n"/>
      <c r="EN38" s="6" t="n"/>
      <c r="EO38" s="6" t="n"/>
      <c r="EP38" s="6" t="n"/>
      <c r="EQ38" s="6" t="n"/>
      <c r="ER38" s="6" t="n"/>
      <c r="ES38" s="6" t="n"/>
      <c r="ET38" s="6" t="n"/>
      <c r="EU38" s="6" t="n"/>
      <c r="EV38" s="6" t="n"/>
      <c r="EW38" s="6" t="n"/>
      <c r="EX38" s="6" t="n"/>
      <c r="EY38" s="6" t="n"/>
      <c r="EZ38" s="6" t="n"/>
      <c r="FA38" s="6" t="n"/>
      <c r="FB38" s="6" t="n"/>
      <c r="FC38" s="6" t="n"/>
      <c r="FD38" s="6" t="n"/>
      <c r="FE38" s="6" t="n"/>
      <c r="FF38" s="6" t="n"/>
      <c r="FG38" s="6" t="n"/>
      <c r="FH38" s="6" t="n"/>
      <c r="FI38" s="6" t="n"/>
      <c r="FJ38" s="6" t="n"/>
      <c r="FK38" s="6" t="n"/>
      <c r="FL38" s="6" t="n"/>
      <c r="FM38" s="6" t="n"/>
      <c r="FN38" s="6" t="n"/>
      <c r="FO38" s="6" t="n"/>
      <c r="FP38" s="6" t="n"/>
      <c r="FQ38" s="6" t="n"/>
      <c r="FR38" s="6" t="n"/>
      <c r="FS38" s="6" t="n"/>
      <c r="FT38" s="6" t="n"/>
      <c r="FU38" s="6" t="n"/>
      <c r="FV38" s="6" t="n"/>
      <c r="FW38" s="6" t="n"/>
      <c r="FX38" s="6" t="n"/>
      <c r="FY38" s="6" t="n"/>
      <c r="FZ38" s="6" t="n"/>
      <c r="GA38" s="6" t="n"/>
      <c r="GB38" s="6" t="n"/>
      <c r="GC38" s="6" t="n"/>
      <c r="GD38" s="6" t="n"/>
      <c r="GE38" s="6" t="n"/>
      <c r="GF38" s="6" t="n"/>
      <c r="GG38" s="6" t="n"/>
      <c r="GH38" s="6" t="n"/>
      <c r="GI38" s="6" t="n"/>
      <c r="GJ38" s="6" t="n"/>
      <c r="GK38" s="6" t="n"/>
      <c r="GL38" s="6" t="n"/>
      <c r="GM38" s="6" t="n"/>
      <c r="GN38" s="6" t="n"/>
    </row>
    <row r="39" ht="21" customHeight="1" s="11">
      <c r="C39" s="182" t="inlineStr">
        <is>
          <t>HANGZHOU ZHONGFANG TEXTILE IMP./EXP. CO., LTD.</t>
        </is>
      </c>
      <c r="F39" s="40" t="n"/>
      <c r="G39" s="40" t="n"/>
      <c r="H39" s="6" t="n"/>
      <c r="I39" s="183" t="inlineStr">
        <is>
          <t>HANGZHOU ZHONGFANG TEXTILE IMP./EXP. CO., LTD</t>
        </is>
      </c>
      <c r="O39" s="6" t="n"/>
      <c r="P39" s="6" t="n"/>
      <c r="Q39" s="6" t="n"/>
      <c r="R39" s="204" t="n"/>
      <c r="T39" s="6" t="n"/>
      <c r="U39" s="7" t="n"/>
      <c r="V39" s="7" t="n"/>
      <c r="W39" s="7" t="n"/>
      <c r="X39" s="99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6" t="n"/>
      <c r="DX39" s="6" t="n"/>
      <c r="DY39" s="6" t="n"/>
      <c r="DZ39" s="6" t="n"/>
      <c r="EA39" s="6" t="n"/>
      <c r="EB39" s="6" t="n"/>
      <c r="EC39" s="6" t="n"/>
      <c r="ED39" s="6" t="n"/>
      <c r="EE39" s="6" t="n"/>
      <c r="EF39" s="6" t="n"/>
      <c r="EG39" s="6" t="n"/>
      <c r="EH39" s="6" t="n"/>
      <c r="EI39" s="6" t="n"/>
      <c r="EJ39" s="6" t="n"/>
      <c r="EK39" s="6" t="n"/>
      <c r="EL39" s="6" t="n"/>
      <c r="EM39" s="6" t="n"/>
      <c r="EN39" s="6" t="n"/>
      <c r="EO39" s="6" t="n"/>
      <c r="EP39" s="6" t="n"/>
      <c r="EQ39" s="6" t="n"/>
      <c r="ER39" s="6" t="n"/>
      <c r="ES39" s="6" t="n"/>
      <c r="ET39" s="6" t="n"/>
      <c r="EU39" s="6" t="n"/>
      <c r="EV39" s="6" t="n"/>
      <c r="EW39" s="6" t="n"/>
      <c r="EX39" s="6" t="n"/>
      <c r="EY39" s="6" t="n"/>
      <c r="EZ39" s="6" t="n"/>
      <c r="FA39" s="6" t="n"/>
      <c r="FB39" s="6" t="n"/>
      <c r="FC39" s="6" t="n"/>
      <c r="FD39" s="6" t="n"/>
      <c r="FE39" s="6" t="n"/>
      <c r="FF39" s="6" t="n"/>
      <c r="FG39" s="6" t="n"/>
      <c r="FH39" s="6" t="n"/>
      <c r="FI39" s="6" t="n"/>
      <c r="FJ39" s="6" t="n"/>
      <c r="FK39" s="6" t="n"/>
      <c r="FL39" s="6" t="n"/>
      <c r="FM39" s="6" t="n"/>
      <c r="FN39" s="6" t="n"/>
      <c r="FO39" s="6" t="n"/>
      <c r="FP39" s="6" t="n"/>
      <c r="FQ39" s="6" t="n"/>
      <c r="FR39" s="6" t="n"/>
      <c r="FS39" s="6" t="n"/>
      <c r="FT39" s="6" t="n"/>
      <c r="FU39" s="6" t="n"/>
      <c r="FV39" s="6" t="n"/>
      <c r="FW39" s="6" t="n"/>
      <c r="FX39" s="6" t="n"/>
      <c r="FY39" s="6" t="n"/>
      <c r="FZ39" s="6" t="n"/>
      <c r="GA39" s="6" t="n"/>
      <c r="GB39" s="6" t="n"/>
      <c r="GC39" s="6" t="n"/>
      <c r="GD39" s="6" t="n"/>
      <c r="GE39" s="6" t="n"/>
      <c r="GF39" s="6" t="n"/>
      <c r="GG39" s="6" t="n"/>
      <c r="GH39" s="6" t="n"/>
      <c r="GI39" s="6" t="n"/>
      <c r="GJ39" s="6" t="n"/>
      <c r="GK39" s="6" t="n"/>
      <c r="GL39" s="6" t="n"/>
      <c r="GM39" s="6" t="n"/>
      <c r="GN39" s="6" t="n"/>
    </row>
    <row r="40" ht="18" customHeight="1" s="11">
      <c r="C40" s="184" t="inlineStr">
        <is>
          <t>Адрес:NO.756-2,RENMIN AVENUE,NANYUAN STREET,YUHANG DISTRICT,</t>
        </is>
      </c>
      <c r="F40" s="42" t="n"/>
      <c r="G40" s="42" t="n"/>
      <c r="H40" s="6" t="n"/>
      <c r="I40" s="184" t="inlineStr">
        <is>
          <t>Address:NO.756-2,RENMIN AVENUE,NANYUAN STREET,YUHANG DISTRICT,</t>
        </is>
      </c>
      <c r="O40" s="6" t="n"/>
      <c r="P40" s="6" t="n"/>
      <c r="Q40" s="6" t="n"/>
      <c r="R40" s="204" t="n"/>
      <c r="T40" s="6" t="n"/>
      <c r="U40" s="7" t="n"/>
      <c r="V40" s="7" t="n"/>
      <c r="W40" s="7" t="n"/>
      <c r="X40" s="99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6" t="n"/>
      <c r="DX40" s="6" t="n"/>
      <c r="DY40" s="6" t="n"/>
      <c r="DZ40" s="6" t="n"/>
      <c r="EA40" s="6" t="n"/>
      <c r="EB40" s="6" t="n"/>
      <c r="EC40" s="6" t="n"/>
      <c r="ED40" s="6" t="n"/>
      <c r="EE40" s="6" t="n"/>
      <c r="EF40" s="6" t="n"/>
      <c r="EG40" s="6" t="n"/>
      <c r="EH40" s="6" t="n"/>
      <c r="EI40" s="6" t="n"/>
      <c r="EJ40" s="6" t="n"/>
      <c r="EK40" s="6" t="n"/>
      <c r="EL40" s="6" t="n"/>
      <c r="EM40" s="6" t="n"/>
      <c r="EN40" s="6" t="n"/>
      <c r="EO40" s="6" t="n"/>
      <c r="EP40" s="6" t="n"/>
      <c r="EQ40" s="6" t="n"/>
      <c r="ER40" s="6" t="n"/>
      <c r="ES40" s="6" t="n"/>
      <c r="ET40" s="6" t="n"/>
      <c r="EU40" s="6" t="n"/>
      <c r="EV40" s="6" t="n"/>
      <c r="EW40" s="6" t="n"/>
      <c r="EX40" s="6" t="n"/>
      <c r="EY40" s="6" t="n"/>
      <c r="EZ40" s="6" t="n"/>
      <c r="FA40" s="6" t="n"/>
      <c r="FB40" s="6" t="n"/>
      <c r="FC40" s="6" t="n"/>
      <c r="FD40" s="6" t="n"/>
      <c r="FE40" s="6" t="n"/>
      <c r="FF40" s="6" t="n"/>
      <c r="FG40" s="6" t="n"/>
      <c r="FH40" s="6" t="n"/>
      <c r="FI40" s="6" t="n"/>
      <c r="FJ40" s="6" t="n"/>
      <c r="FK40" s="6" t="n"/>
      <c r="FL40" s="6" t="n"/>
      <c r="FM40" s="6" t="n"/>
      <c r="FN40" s="6" t="n"/>
      <c r="FO40" s="6" t="n"/>
      <c r="FP40" s="6" t="n"/>
      <c r="FQ40" s="6" t="n"/>
      <c r="FR40" s="6" t="n"/>
      <c r="FS40" s="6" t="n"/>
      <c r="FT40" s="6" t="n"/>
      <c r="FU40" s="6" t="n"/>
      <c r="FV40" s="6" t="n"/>
      <c r="FW40" s="6" t="n"/>
      <c r="FX40" s="6" t="n"/>
      <c r="FY40" s="6" t="n"/>
      <c r="FZ40" s="6" t="n"/>
      <c r="GA40" s="6" t="n"/>
      <c r="GB40" s="6" t="n"/>
      <c r="GC40" s="6" t="n"/>
      <c r="GD40" s="6" t="n"/>
      <c r="GE40" s="6" t="n"/>
      <c r="GF40" s="6" t="n"/>
      <c r="GG40" s="6" t="n"/>
      <c r="GH40" s="6" t="n"/>
      <c r="GI40" s="6" t="n"/>
      <c r="GJ40" s="6" t="n"/>
      <c r="GK40" s="6" t="n"/>
      <c r="GL40" s="6" t="n"/>
      <c r="GM40" s="6" t="n"/>
      <c r="GN40" s="6" t="n"/>
    </row>
    <row r="41" ht="12.75" customHeight="1" s="11">
      <c r="C41" s="184" t="inlineStr">
        <is>
          <t>HANGZHOU, ZHEJIANG PROVINCE CHINA</t>
        </is>
      </c>
      <c r="F41" s="42" t="n"/>
      <c r="G41" s="42" t="n"/>
      <c r="H41" s="6" t="n"/>
      <c r="I41" s="184" t="inlineStr">
        <is>
          <t>HANGZHOU, ZHEJIANG PROVINCE CHINA</t>
        </is>
      </c>
      <c r="O41" s="6" t="n"/>
      <c r="P41" s="6" t="n"/>
      <c r="Q41" s="6" t="n"/>
      <c r="R41" s="204" t="n"/>
      <c r="T41" s="6" t="n"/>
      <c r="U41" s="7" t="n"/>
      <c r="V41" s="7" t="n"/>
      <c r="W41" s="7" t="n"/>
      <c r="X41" s="99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6" t="n"/>
      <c r="DX41" s="6" t="n"/>
      <c r="DY41" s="6" t="n"/>
      <c r="DZ41" s="6" t="n"/>
      <c r="EA41" s="6" t="n"/>
      <c r="EB41" s="6" t="n"/>
      <c r="EC41" s="6" t="n"/>
      <c r="ED41" s="6" t="n"/>
      <c r="EE41" s="6" t="n"/>
      <c r="EF41" s="6" t="n"/>
      <c r="EG41" s="6" t="n"/>
      <c r="EH41" s="6" t="n"/>
      <c r="EI41" s="6" t="n"/>
      <c r="EJ41" s="6" t="n"/>
      <c r="EK41" s="6" t="n"/>
      <c r="EL41" s="6" t="n"/>
      <c r="EM41" s="6" t="n"/>
      <c r="EN41" s="6" t="n"/>
      <c r="EO41" s="6" t="n"/>
      <c r="EP41" s="6" t="n"/>
      <c r="EQ41" s="6" t="n"/>
      <c r="ER41" s="6" t="n"/>
      <c r="ES41" s="6" t="n"/>
      <c r="ET41" s="6" t="n"/>
      <c r="EU41" s="6" t="n"/>
      <c r="EV41" s="6" t="n"/>
      <c r="EW41" s="6" t="n"/>
      <c r="EX41" s="6" t="n"/>
      <c r="EY41" s="6" t="n"/>
      <c r="EZ41" s="6" t="n"/>
      <c r="FA41" s="6" t="n"/>
      <c r="FB41" s="6" t="n"/>
      <c r="FC41" s="6" t="n"/>
      <c r="FD41" s="6" t="n"/>
      <c r="FE41" s="6" t="n"/>
      <c r="FF41" s="6" t="n"/>
      <c r="FG41" s="6" t="n"/>
      <c r="FH41" s="6" t="n"/>
      <c r="FI41" s="6" t="n"/>
      <c r="FJ41" s="6" t="n"/>
      <c r="FK41" s="6" t="n"/>
      <c r="FL41" s="6" t="n"/>
      <c r="FM41" s="6" t="n"/>
      <c r="FN41" s="6" t="n"/>
      <c r="FO41" s="6" t="n"/>
      <c r="FP41" s="6" t="n"/>
      <c r="FQ41" s="6" t="n"/>
      <c r="FR41" s="6" t="n"/>
      <c r="FS41" s="6" t="n"/>
      <c r="FT41" s="6" t="n"/>
      <c r="FU41" s="6" t="n"/>
      <c r="FV41" s="6" t="n"/>
      <c r="FW41" s="6" t="n"/>
      <c r="FX41" s="6" t="n"/>
      <c r="FY41" s="6" t="n"/>
      <c r="FZ41" s="6" t="n"/>
      <c r="GA41" s="6" t="n"/>
      <c r="GB41" s="6" t="n"/>
      <c r="GC41" s="6" t="n"/>
      <c r="GD41" s="6" t="n"/>
      <c r="GE41" s="6" t="n"/>
      <c r="GF41" s="6" t="n"/>
      <c r="GG41" s="6" t="n"/>
      <c r="GH41" s="6" t="n"/>
      <c r="GI41" s="6" t="n"/>
      <c r="GJ41" s="6" t="n"/>
      <c r="GK41" s="6" t="n"/>
      <c r="GL41" s="6" t="n"/>
      <c r="GM41" s="6" t="n"/>
      <c r="GN41" s="6" t="n"/>
    </row>
    <row r="42" ht="25.5" customHeight="1" s="11">
      <c r="C42" s="184" t="inlineStr">
        <is>
          <t>Адрес склада:West 1/F Bld 3, No. 503 Shunfeng Road, Qianjiang Economic Development Zone, Yuhang District, Hangzhou, Zhejiang Province, China</t>
        </is>
      </c>
      <c r="F42" s="42" t="n"/>
      <c r="G42" s="42" t="n"/>
      <c r="H42" s="6" t="n"/>
      <c r="I42" s="184" t="inlineStr">
        <is>
          <t>Warehouse address:West 1/F Bld 3, No. 503 Shunfeng Road, Qianjiang Economic Development Zone, Yuhang District, Hangzhou, Zhejiang Province, China</t>
        </is>
      </c>
      <c r="O42" s="6" t="n"/>
      <c r="P42" s="6" t="n"/>
      <c r="Q42" s="6" t="n"/>
      <c r="R42" s="204" t="n"/>
      <c r="T42" s="6" t="n"/>
      <c r="U42" s="7" t="n"/>
      <c r="V42" s="7" t="n"/>
      <c r="W42" s="7" t="n"/>
      <c r="X42" s="99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6" t="n"/>
      <c r="DX42" s="6" t="n"/>
      <c r="DY42" s="6" t="n"/>
      <c r="DZ42" s="6" t="n"/>
      <c r="EA42" s="6" t="n"/>
      <c r="EB42" s="6" t="n"/>
      <c r="EC42" s="6" t="n"/>
      <c r="ED42" s="6" t="n"/>
      <c r="EE42" s="6" t="n"/>
      <c r="EF42" s="6" t="n"/>
      <c r="EG42" s="6" t="n"/>
      <c r="EH42" s="6" t="n"/>
      <c r="EI42" s="6" t="n"/>
      <c r="EJ42" s="6" t="n"/>
      <c r="EK42" s="6" t="n"/>
      <c r="EL42" s="6" t="n"/>
      <c r="EM42" s="6" t="n"/>
      <c r="EN42" s="6" t="n"/>
      <c r="EO42" s="6" t="n"/>
      <c r="EP42" s="6" t="n"/>
      <c r="EQ42" s="6" t="n"/>
      <c r="ER42" s="6" t="n"/>
      <c r="ES42" s="6" t="n"/>
      <c r="ET42" s="6" t="n"/>
      <c r="EU42" s="6" t="n"/>
      <c r="EV42" s="6" t="n"/>
      <c r="EW42" s="6" t="n"/>
      <c r="EX42" s="6" t="n"/>
      <c r="EY42" s="6" t="n"/>
      <c r="EZ42" s="6" t="n"/>
      <c r="FA42" s="6" t="n"/>
      <c r="FB42" s="6" t="n"/>
      <c r="FC42" s="6" t="n"/>
      <c r="FD42" s="6" t="n"/>
      <c r="FE42" s="6" t="n"/>
      <c r="FF42" s="6" t="n"/>
      <c r="FG42" s="6" t="n"/>
      <c r="FH42" s="6" t="n"/>
      <c r="FI42" s="6" t="n"/>
      <c r="FJ42" s="6" t="n"/>
      <c r="FK42" s="6" t="n"/>
      <c r="FL42" s="6" t="n"/>
      <c r="FM42" s="6" t="n"/>
      <c r="FN42" s="6" t="n"/>
      <c r="FO42" s="6" t="n"/>
      <c r="FP42" s="6" t="n"/>
      <c r="FQ42" s="6" t="n"/>
      <c r="FR42" s="6" t="n"/>
      <c r="FS42" s="6" t="n"/>
      <c r="FT42" s="6" t="n"/>
      <c r="FU42" s="6" t="n"/>
      <c r="FV42" s="6" t="n"/>
      <c r="FW42" s="6" t="n"/>
      <c r="FX42" s="6" t="n"/>
      <c r="FY42" s="6" t="n"/>
      <c r="FZ42" s="6" t="n"/>
      <c r="GA42" s="6" t="n"/>
      <c r="GB42" s="6" t="n"/>
      <c r="GC42" s="6" t="n"/>
      <c r="GD42" s="6" t="n"/>
      <c r="GE42" s="6" t="n"/>
      <c r="GF42" s="6" t="n"/>
      <c r="GG42" s="6" t="n"/>
      <c r="GH42" s="6" t="n"/>
      <c r="GI42" s="6" t="n"/>
      <c r="GJ42" s="6" t="n"/>
      <c r="GK42" s="6" t="n"/>
      <c r="GL42" s="6" t="n"/>
      <c r="GM42" s="6" t="n"/>
      <c r="GN42" s="6" t="n"/>
    </row>
    <row r="43" ht="15.75" customHeight="1" s="11">
      <c r="C43" s="185" t="inlineStr">
        <is>
          <t>Телефон: +86-571-86255881</t>
        </is>
      </c>
      <c r="F43" s="38" t="n"/>
      <c r="G43" s="38" t="n"/>
      <c r="H43" s="6" t="n"/>
      <c r="I43" s="184" t="inlineStr">
        <is>
          <t>Tel.: +86-571-86255881</t>
        </is>
      </c>
      <c r="O43" s="6" t="n"/>
      <c r="P43" s="6" t="n"/>
      <c r="Q43" s="6" t="n"/>
      <c r="R43" s="204" t="n"/>
      <c r="T43" s="6" t="n"/>
      <c r="U43" s="7" t="n"/>
      <c r="V43" s="7" t="n"/>
      <c r="W43" s="7" t="n"/>
      <c r="X43" s="99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6" t="n"/>
      <c r="DX43" s="6" t="n"/>
      <c r="DY43" s="6" t="n"/>
      <c r="DZ43" s="6" t="n"/>
      <c r="EA43" s="6" t="n"/>
      <c r="EB43" s="6" t="n"/>
      <c r="EC43" s="6" t="n"/>
      <c r="ED43" s="6" t="n"/>
      <c r="EE43" s="6" t="n"/>
      <c r="EF43" s="6" t="n"/>
      <c r="EG43" s="6" t="n"/>
      <c r="EH43" s="6" t="n"/>
      <c r="EI43" s="6" t="n"/>
      <c r="EJ43" s="6" t="n"/>
      <c r="EK43" s="6" t="n"/>
      <c r="EL43" s="6" t="n"/>
      <c r="EM43" s="6" t="n"/>
      <c r="EN43" s="6" t="n"/>
      <c r="EO43" s="6" t="n"/>
      <c r="EP43" s="6" t="n"/>
      <c r="EQ43" s="6" t="n"/>
      <c r="ER43" s="6" t="n"/>
      <c r="ES43" s="6" t="n"/>
      <c r="ET43" s="6" t="n"/>
      <c r="EU43" s="6" t="n"/>
      <c r="EV43" s="6" t="n"/>
      <c r="EW43" s="6" t="n"/>
      <c r="EX43" s="6" t="n"/>
      <c r="EY43" s="6" t="n"/>
      <c r="EZ43" s="6" t="n"/>
      <c r="FA43" s="6" t="n"/>
      <c r="FB43" s="6" t="n"/>
      <c r="FC43" s="6" t="n"/>
      <c r="FD43" s="6" t="n"/>
      <c r="FE43" s="6" t="n"/>
      <c r="FF43" s="6" t="n"/>
      <c r="FG43" s="6" t="n"/>
      <c r="FH43" s="6" t="n"/>
      <c r="FI43" s="6" t="n"/>
      <c r="FJ43" s="6" t="n"/>
      <c r="FK43" s="6" t="n"/>
      <c r="FL43" s="6" t="n"/>
      <c r="FM43" s="6" t="n"/>
      <c r="FN43" s="6" t="n"/>
      <c r="FO43" s="6" t="n"/>
      <c r="FP43" s="6" t="n"/>
      <c r="FQ43" s="6" t="n"/>
      <c r="FR43" s="6" t="n"/>
      <c r="FS43" s="6" t="n"/>
      <c r="FT43" s="6" t="n"/>
      <c r="FU43" s="6" t="n"/>
      <c r="FV43" s="6" t="n"/>
      <c r="FW43" s="6" t="n"/>
      <c r="FX43" s="6" t="n"/>
      <c r="FY43" s="6" t="n"/>
      <c r="FZ43" s="6" t="n"/>
      <c r="GA43" s="6" t="n"/>
      <c r="GB43" s="6" t="n"/>
      <c r="GC43" s="6" t="n"/>
      <c r="GD43" s="6" t="n"/>
      <c r="GE43" s="6" t="n"/>
      <c r="GF43" s="6" t="n"/>
      <c r="GG43" s="6" t="n"/>
      <c r="GH43" s="6" t="n"/>
      <c r="GI43" s="6" t="n"/>
      <c r="GJ43" s="6" t="n"/>
      <c r="GK43" s="6" t="n"/>
      <c r="GL43" s="6" t="n"/>
      <c r="GM43" s="6" t="n"/>
      <c r="GN43" s="6" t="n"/>
    </row>
    <row r="44" ht="18.75" customHeight="1" s="11">
      <c r="C44" s="186" t="inlineStr">
        <is>
          <t>Вебсайт:http://www.zhongfanghz.cn/</t>
        </is>
      </c>
      <c r="F44" s="43" t="n"/>
      <c r="G44" s="43" t="n"/>
      <c r="H44" s="6" t="n"/>
      <c r="I44" s="187" t="inlineStr">
        <is>
          <t>Website:http://www.zhongfanghz.cn/</t>
        </is>
      </c>
      <c r="M44" s="58" t="n"/>
      <c r="N44" s="237" t="n"/>
      <c r="O44" s="6" t="n"/>
      <c r="P44" s="6" t="n"/>
      <c r="Q44" s="6" t="n"/>
      <c r="R44" s="204" t="n"/>
      <c r="T44" s="6" t="n"/>
      <c r="U44" s="7" t="n"/>
      <c r="V44" s="7" t="n"/>
      <c r="W44" s="7" t="n"/>
      <c r="X44" s="99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6" t="n"/>
      <c r="DX44" s="6" t="n"/>
      <c r="DY44" s="6" t="n"/>
      <c r="DZ44" s="6" t="n"/>
      <c r="EA44" s="6" t="n"/>
      <c r="EB44" s="6" t="n"/>
      <c r="EC44" s="6" t="n"/>
      <c r="ED44" s="6" t="n"/>
      <c r="EE44" s="6" t="n"/>
      <c r="EF44" s="6" t="n"/>
      <c r="EG44" s="6" t="n"/>
      <c r="EH44" s="6" t="n"/>
      <c r="EI44" s="6" t="n"/>
      <c r="EJ44" s="6" t="n"/>
      <c r="EK44" s="6" t="n"/>
      <c r="EL44" s="6" t="n"/>
      <c r="EM44" s="6" t="n"/>
      <c r="EN44" s="6" t="n"/>
      <c r="EO44" s="6" t="n"/>
      <c r="EP44" s="6" t="n"/>
      <c r="EQ44" s="6" t="n"/>
      <c r="ER44" s="6" t="n"/>
      <c r="ES44" s="6" t="n"/>
      <c r="ET44" s="6" t="n"/>
      <c r="EU44" s="6" t="n"/>
      <c r="EV44" s="6" t="n"/>
      <c r="EW44" s="6" t="n"/>
      <c r="EX44" s="6" t="n"/>
      <c r="EY44" s="6" t="n"/>
      <c r="EZ44" s="6" t="n"/>
      <c r="FA44" s="6" t="n"/>
      <c r="FB44" s="6" t="n"/>
      <c r="FC44" s="6" t="n"/>
      <c r="FD44" s="6" t="n"/>
      <c r="FE44" s="6" t="n"/>
      <c r="FF44" s="6" t="n"/>
      <c r="FG44" s="6" t="n"/>
      <c r="FH44" s="6" t="n"/>
      <c r="FI44" s="6" t="n"/>
      <c r="FJ44" s="6" t="n"/>
      <c r="FK44" s="6" t="n"/>
      <c r="FL44" s="6" t="n"/>
      <c r="FM44" s="6" t="n"/>
      <c r="FN44" s="6" t="n"/>
      <c r="FO44" s="6" t="n"/>
      <c r="FP44" s="6" t="n"/>
      <c r="FQ44" s="6" t="n"/>
      <c r="FR44" s="6" t="n"/>
      <c r="FS44" s="6" t="n"/>
      <c r="FT44" s="6" t="n"/>
      <c r="FU44" s="6" t="n"/>
      <c r="FV44" s="6" t="n"/>
      <c r="FW44" s="6" t="n"/>
      <c r="FX44" s="6" t="n"/>
      <c r="FY44" s="6" t="n"/>
      <c r="FZ44" s="6" t="n"/>
      <c r="GA44" s="6" t="n"/>
      <c r="GB44" s="6" t="n"/>
      <c r="GC44" s="6" t="n"/>
      <c r="GD44" s="6" t="n"/>
      <c r="GE44" s="6" t="n"/>
      <c r="GF44" s="6" t="n"/>
      <c r="GG44" s="6" t="n"/>
      <c r="GH44" s="6" t="n"/>
      <c r="GI44" s="6" t="n"/>
      <c r="GJ44" s="6" t="n"/>
      <c r="GK44" s="6" t="n"/>
      <c r="GL44" s="6" t="n"/>
      <c r="GM44" s="6" t="n"/>
      <c r="GN44" s="6" t="n"/>
    </row>
    <row r="45" ht="16.5" customHeight="1" s="11">
      <c r="C45" s="185" t="inlineStr">
        <is>
          <t>E-mail: liuzhihui@zhongfanghz.cn</t>
        </is>
      </c>
      <c r="F45" s="42" t="n"/>
      <c r="G45" s="42" t="n"/>
      <c r="H45" s="6" t="n"/>
      <c r="I45" s="184" t="inlineStr">
        <is>
          <t>Email: liuzhihui@zhongfanghz.cn</t>
        </is>
      </c>
      <c r="O45" s="6" t="n"/>
      <c r="P45" s="6" t="n"/>
      <c r="Q45" s="6" t="n"/>
      <c r="R45" s="204" t="n"/>
      <c r="T45" s="6" t="n"/>
      <c r="U45" s="7" t="n"/>
      <c r="V45" s="7" t="n"/>
      <c r="W45" s="7" t="n"/>
      <c r="X45" s="99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6" t="n"/>
      <c r="EF45" s="6" t="n"/>
      <c r="EG45" s="6" t="n"/>
      <c r="EH45" s="6" t="n"/>
      <c r="EI45" s="6" t="n"/>
      <c r="EJ45" s="6" t="n"/>
      <c r="EK45" s="6" t="n"/>
      <c r="EL45" s="6" t="n"/>
      <c r="EM45" s="6" t="n"/>
      <c r="EN45" s="6" t="n"/>
      <c r="EO45" s="6" t="n"/>
      <c r="EP45" s="6" t="n"/>
      <c r="EQ45" s="6" t="n"/>
      <c r="ER45" s="6" t="n"/>
      <c r="ES45" s="6" t="n"/>
      <c r="ET45" s="6" t="n"/>
      <c r="EU45" s="6" t="n"/>
      <c r="EV45" s="6" t="n"/>
      <c r="EW45" s="6" t="n"/>
      <c r="EX45" s="6" t="n"/>
      <c r="EY45" s="6" t="n"/>
      <c r="EZ45" s="6" t="n"/>
      <c r="FA45" s="6" t="n"/>
      <c r="FB45" s="6" t="n"/>
      <c r="FC45" s="6" t="n"/>
      <c r="FD45" s="6" t="n"/>
      <c r="FE45" s="6" t="n"/>
      <c r="FF45" s="6" t="n"/>
      <c r="FG45" s="6" t="n"/>
      <c r="FH45" s="6" t="n"/>
      <c r="FI45" s="6" t="n"/>
      <c r="FJ45" s="6" t="n"/>
      <c r="FK45" s="6" t="n"/>
      <c r="FL45" s="6" t="n"/>
      <c r="FM45" s="6" t="n"/>
      <c r="FN45" s="6" t="n"/>
      <c r="FO45" s="6" t="n"/>
      <c r="FP45" s="6" t="n"/>
      <c r="FQ45" s="6" t="n"/>
      <c r="FR45" s="6" t="n"/>
      <c r="FS45" s="6" t="n"/>
      <c r="FT45" s="6" t="n"/>
      <c r="FU45" s="6" t="n"/>
      <c r="FV45" s="6" t="n"/>
      <c r="FW45" s="6" t="n"/>
      <c r="FX45" s="6" t="n"/>
      <c r="FY45" s="6" t="n"/>
      <c r="FZ45" s="6" t="n"/>
      <c r="GA45" s="6" t="n"/>
      <c r="GB45" s="6" t="n"/>
      <c r="GC45" s="6" t="n"/>
      <c r="GD45" s="6" t="n"/>
      <c r="GE45" s="6" t="n"/>
      <c r="GF45" s="6" t="n"/>
      <c r="GG45" s="6" t="n"/>
      <c r="GH45" s="6" t="n"/>
      <c r="GI45" s="6" t="n"/>
      <c r="GJ45" s="6" t="n"/>
      <c r="GK45" s="6" t="n"/>
      <c r="GL45" s="6" t="n"/>
      <c r="GM45" s="6" t="n"/>
      <c r="GN45" s="6" t="n"/>
    </row>
    <row r="46" ht="19.5" customHeight="1" s="11">
      <c r="C46" s="189" t="inlineStr">
        <is>
          <t>Банковские реквизиты:</t>
        </is>
      </c>
      <c r="F46" s="42" t="n"/>
      <c r="G46" s="42" t="n"/>
      <c r="H46" s="6" t="n"/>
      <c r="I46" s="188" t="inlineStr">
        <is>
          <t>Bank details:</t>
        </is>
      </c>
      <c r="O46" s="6" t="n"/>
      <c r="P46" s="6" t="n"/>
      <c r="Q46" s="6" t="n"/>
      <c r="R46" s="204" t="n"/>
      <c r="T46" s="6" t="n"/>
      <c r="U46" s="7" t="n"/>
      <c r="V46" s="7" t="n"/>
      <c r="W46" s="7" t="n"/>
      <c r="X46" s="99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6" t="n"/>
      <c r="EF46" s="6" t="n"/>
      <c r="EG46" s="6" t="n"/>
      <c r="EH46" s="6" t="n"/>
      <c r="EI46" s="6" t="n"/>
      <c r="EJ46" s="6" t="n"/>
      <c r="EK46" s="6" t="n"/>
      <c r="EL46" s="6" t="n"/>
      <c r="EM46" s="6" t="n"/>
      <c r="EN46" s="6" t="n"/>
      <c r="EO46" s="6" t="n"/>
      <c r="EP46" s="6" t="n"/>
      <c r="EQ46" s="6" t="n"/>
      <c r="ER46" s="6" t="n"/>
      <c r="ES46" s="6" t="n"/>
      <c r="ET46" s="6" t="n"/>
      <c r="EU46" s="6" t="n"/>
      <c r="EV46" s="6" t="n"/>
      <c r="EW46" s="6" t="n"/>
      <c r="EX46" s="6" t="n"/>
      <c r="EY46" s="6" t="n"/>
      <c r="EZ46" s="6" t="n"/>
      <c r="FA46" s="6" t="n"/>
      <c r="FB46" s="6" t="n"/>
      <c r="FC46" s="6" t="n"/>
      <c r="FD46" s="6" t="n"/>
      <c r="FE46" s="6" t="n"/>
      <c r="FF46" s="6" t="n"/>
      <c r="FG46" s="6" t="n"/>
      <c r="FH46" s="6" t="n"/>
      <c r="FI46" s="6" t="n"/>
      <c r="FJ46" s="6" t="n"/>
      <c r="FK46" s="6" t="n"/>
      <c r="FL46" s="6" t="n"/>
      <c r="FM46" s="6" t="n"/>
      <c r="FN46" s="6" t="n"/>
      <c r="FO46" s="6" t="n"/>
      <c r="FP46" s="6" t="n"/>
      <c r="FQ46" s="6" t="n"/>
      <c r="FR46" s="6" t="n"/>
      <c r="FS46" s="6" t="n"/>
      <c r="FT46" s="6" t="n"/>
      <c r="FU46" s="6" t="n"/>
      <c r="FV46" s="6" t="n"/>
      <c r="FW46" s="6" t="n"/>
      <c r="FX46" s="6" t="n"/>
      <c r="FY46" s="6" t="n"/>
      <c r="FZ46" s="6" t="n"/>
      <c r="GA46" s="6" t="n"/>
      <c r="GB46" s="6" t="n"/>
      <c r="GC46" s="6" t="n"/>
      <c r="GD46" s="6" t="n"/>
      <c r="GE46" s="6" t="n"/>
      <c r="GF46" s="6" t="n"/>
      <c r="GG46" s="6" t="n"/>
      <c r="GH46" s="6" t="n"/>
      <c r="GI46" s="6" t="n"/>
      <c r="GJ46" s="6" t="n"/>
      <c r="GK46" s="6" t="n"/>
      <c r="GL46" s="6" t="n"/>
      <c r="GM46" s="6" t="n"/>
      <c r="GN46" s="6" t="n"/>
    </row>
    <row r="47" ht="17.25" customHeight="1" s="11">
      <c r="C47" s="184" t="inlineStr">
        <is>
          <t>Beneficiary: Hangzhou Zhongfang Textile Imp./Exp. Co., Ltd</t>
        </is>
      </c>
      <c r="F47" s="42" t="n"/>
      <c r="G47" s="42" t="n"/>
      <c r="H47" s="6" t="n"/>
      <c r="I47" s="184" t="inlineStr">
        <is>
          <t>Beneficiary: Hangzhou Zhongfang Textile Imp./Exp. Co., Ltd</t>
        </is>
      </c>
      <c r="O47" s="6" t="n"/>
      <c r="P47" s="6" t="n"/>
      <c r="Q47" s="6" t="n"/>
      <c r="R47" s="204" t="n"/>
      <c r="T47" s="6" t="n"/>
      <c r="U47" s="7" t="n"/>
      <c r="V47" s="7" t="n"/>
      <c r="W47" s="7" t="n"/>
      <c r="X47" s="99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6" t="n"/>
      <c r="EF47" s="6" t="n"/>
      <c r="EG47" s="6" t="n"/>
      <c r="EH47" s="6" t="n"/>
      <c r="EI47" s="6" t="n"/>
      <c r="EJ47" s="6" t="n"/>
      <c r="EK47" s="6" t="n"/>
      <c r="EL47" s="6" t="n"/>
      <c r="EM47" s="6" t="n"/>
      <c r="EN47" s="6" t="n"/>
      <c r="EO47" s="6" t="n"/>
      <c r="EP47" s="6" t="n"/>
      <c r="EQ47" s="6" t="n"/>
      <c r="ER47" s="6" t="n"/>
      <c r="ES47" s="6" t="n"/>
      <c r="ET47" s="6" t="n"/>
      <c r="EU47" s="6" t="n"/>
      <c r="EV47" s="6" t="n"/>
      <c r="EW47" s="6" t="n"/>
      <c r="EX47" s="6" t="n"/>
      <c r="EY47" s="6" t="n"/>
      <c r="EZ47" s="6" t="n"/>
      <c r="FA47" s="6" t="n"/>
      <c r="FB47" s="6" t="n"/>
      <c r="FC47" s="6" t="n"/>
      <c r="FD47" s="6" t="n"/>
      <c r="FE47" s="6" t="n"/>
      <c r="FF47" s="6" t="n"/>
      <c r="FG47" s="6" t="n"/>
      <c r="FH47" s="6" t="n"/>
      <c r="FI47" s="6" t="n"/>
      <c r="FJ47" s="6" t="n"/>
      <c r="FK47" s="6" t="n"/>
      <c r="FL47" s="6" t="n"/>
      <c r="FM47" s="6" t="n"/>
      <c r="FN47" s="6" t="n"/>
      <c r="FO47" s="6" t="n"/>
      <c r="FP47" s="6" t="n"/>
      <c r="FQ47" s="6" t="n"/>
      <c r="FR47" s="6" t="n"/>
      <c r="FS47" s="6" t="n"/>
      <c r="FT47" s="6" t="n"/>
      <c r="FU47" s="6" t="n"/>
      <c r="FV47" s="6" t="n"/>
      <c r="FW47" s="6" t="n"/>
      <c r="FX47" s="6" t="n"/>
      <c r="FY47" s="6" t="n"/>
      <c r="FZ47" s="6" t="n"/>
      <c r="GA47" s="6" t="n"/>
      <c r="GB47" s="6" t="n"/>
      <c r="GC47" s="6" t="n"/>
      <c r="GD47" s="6" t="n"/>
      <c r="GE47" s="6" t="n"/>
      <c r="GF47" s="6" t="n"/>
      <c r="GG47" s="6" t="n"/>
      <c r="GH47" s="6" t="n"/>
      <c r="GI47" s="6" t="n"/>
      <c r="GJ47" s="6" t="n"/>
      <c r="GK47" s="6" t="n"/>
      <c r="GL47" s="6" t="n"/>
      <c r="GM47" s="6" t="n"/>
      <c r="GN47" s="6" t="n"/>
    </row>
    <row r="48" ht="18" customHeight="1" s="11">
      <c r="C48" s="184" t="inlineStr">
        <is>
          <t xml:space="preserve"> Address：NO.756-2, Renmin Avenue, Nanyuan Street, Yuhang District, Hangzhou, Zhejiang Province, China</t>
        </is>
      </c>
      <c r="F48" s="42" t="n"/>
      <c r="G48" s="42" t="n"/>
      <c r="H48" s="6" t="n"/>
      <c r="I48" s="184" t="inlineStr">
        <is>
          <t xml:space="preserve"> Address：NO.756-2, Renmin Avenue, Nanyuan Street, Yuhang District, Hangzhou, Zhejiang Province, China</t>
        </is>
      </c>
      <c r="O48" s="7" t="n"/>
      <c r="P48" s="7" t="n"/>
      <c r="Q48" s="7" t="n"/>
      <c r="R48" s="200" t="n"/>
      <c r="T48" s="7" t="n"/>
      <c r="U48" s="7" t="n"/>
      <c r="V48" s="7" t="n"/>
      <c r="W48" s="7" t="n"/>
      <c r="X48" s="99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6" t="n"/>
      <c r="EF48" s="6" t="n"/>
      <c r="EG48" s="6" t="n"/>
      <c r="EH48" s="6" t="n"/>
      <c r="EI48" s="6" t="n"/>
      <c r="EJ48" s="6" t="n"/>
      <c r="EK48" s="6" t="n"/>
      <c r="EL48" s="6" t="n"/>
      <c r="EM48" s="6" t="n"/>
      <c r="EN48" s="6" t="n"/>
      <c r="EO48" s="6" t="n"/>
      <c r="EP48" s="6" t="n"/>
      <c r="EQ48" s="6" t="n"/>
      <c r="ER48" s="6" t="n"/>
      <c r="ES48" s="6" t="n"/>
      <c r="ET48" s="6" t="n"/>
      <c r="EU48" s="6" t="n"/>
      <c r="EV48" s="6" t="n"/>
      <c r="EW48" s="6" t="n"/>
      <c r="EX48" s="6" t="n"/>
      <c r="EY48" s="6" t="n"/>
      <c r="EZ48" s="6" t="n"/>
      <c r="FA48" s="6" t="n"/>
      <c r="FB48" s="6" t="n"/>
      <c r="FC48" s="6" t="n"/>
      <c r="FD48" s="6" t="n"/>
      <c r="FE48" s="6" t="n"/>
      <c r="FF48" s="6" t="n"/>
      <c r="FG48" s="6" t="n"/>
      <c r="FH48" s="6" t="n"/>
      <c r="FI48" s="6" t="n"/>
      <c r="FJ48" s="6" t="n"/>
      <c r="FK48" s="6" t="n"/>
      <c r="FL48" s="6" t="n"/>
      <c r="FM48" s="6" t="n"/>
      <c r="FN48" s="6" t="n"/>
      <c r="FO48" s="6" t="n"/>
      <c r="FP48" s="6" t="n"/>
      <c r="FQ48" s="6" t="n"/>
      <c r="FR48" s="6" t="n"/>
      <c r="FS48" s="6" t="n"/>
      <c r="FT48" s="6" t="n"/>
      <c r="FU48" s="6" t="n"/>
      <c r="FV48" s="6" t="n"/>
      <c r="FW48" s="6" t="n"/>
      <c r="FX48" s="6" t="n"/>
      <c r="FY48" s="6" t="n"/>
      <c r="FZ48" s="6" t="n"/>
      <c r="GA48" s="6" t="n"/>
      <c r="GB48" s="6" t="n"/>
      <c r="GC48" s="6" t="n"/>
      <c r="GD48" s="6" t="n"/>
      <c r="GE48" s="6" t="n"/>
      <c r="GF48" s="6" t="n"/>
      <c r="GG48" s="6" t="n"/>
      <c r="GH48" s="6" t="n"/>
      <c r="GI48" s="6" t="n"/>
      <c r="GJ48" s="6" t="n"/>
      <c r="GK48" s="6" t="n"/>
      <c r="GL48" s="6" t="n"/>
      <c r="GM48" s="6" t="n"/>
      <c r="GN48" s="6" t="n"/>
    </row>
    <row r="49" ht="12.75" customHeight="1" s="11">
      <c r="C49" s="184" t="inlineStr">
        <is>
          <t xml:space="preserve">Tel:+86-571-86255882 Fax:+86-571-86255883 </t>
        </is>
      </c>
      <c r="F49" s="42" t="n"/>
      <c r="G49" s="42" t="n"/>
      <c r="H49" s="6" t="n"/>
      <c r="I49" s="184" t="inlineStr">
        <is>
          <t xml:space="preserve">Tel:+86-571-86255882 Fax:+86-571-86255883 </t>
        </is>
      </c>
      <c r="O49" s="7" t="n"/>
      <c r="P49" s="7" t="n"/>
      <c r="Q49" s="7" t="n"/>
      <c r="R49" s="200" t="n"/>
      <c r="T49" s="7" t="n"/>
      <c r="U49" s="7" t="n"/>
      <c r="V49" s="7" t="n"/>
      <c r="W49" s="7" t="n"/>
      <c r="X49" s="99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6" t="n"/>
      <c r="EF49" s="6" t="n"/>
      <c r="EG49" s="6" t="n"/>
      <c r="EH49" s="6" t="n"/>
      <c r="EI49" s="6" t="n"/>
      <c r="EJ49" s="6" t="n"/>
      <c r="EK49" s="6" t="n"/>
      <c r="EL49" s="6" t="n"/>
      <c r="EM49" s="6" t="n"/>
      <c r="EN49" s="6" t="n"/>
      <c r="EO49" s="6" t="n"/>
      <c r="EP49" s="6" t="n"/>
      <c r="EQ49" s="6" t="n"/>
      <c r="ER49" s="6" t="n"/>
      <c r="ES49" s="6" t="n"/>
      <c r="ET49" s="6" t="n"/>
      <c r="EU49" s="6" t="n"/>
      <c r="EV49" s="6" t="n"/>
      <c r="EW49" s="6" t="n"/>
      <c r="EX49" s="6" t="n"/>
      <c r="EY49" s="6" t="n"/>
      <c r="EZ49" s="6" t="n"/>
      <c r="FA49" s="6" t="n"/>
      <c r="FB49" s="6" t="n"/>
      <c r="FC49" s="6" t="n"/>
      <c r="FD49" s="6" t="n"/>
      <c r="FE49" s="6" t="n"/>
      <c r="FF49" s="6" t="n"/>
      <c r="FG49" s="6" t="n"/>
      <c r="FH49" s="6" t="n"/>
      <c r="FI49" s="6" t="n"/>
      <c r="FJ49" s="6" t="n"/>
      <c r="FK49" s="6" t="n"/>
      <c r="FL49" s="6" t="n"/>
      <c r="FM49" s="6" t="n"/>
      <c r="FN49" s="6" t="n"/>
      <c r="FO49" s="6" t="n"/>
      <c r="FP49" s="6" t="n"/>
      <c r="FQ49" s="6" t="n"/>
      <c r="FR49" s="6" t="n"/>
      <c r="FS49" s="6" t="n"/>
      <c r="FT49" s="6" t="n"/>
      <c r="FU49" s="6" t="n"/>
      <c r="FV49" s="6" t="n"/>
      <c r="FW49" s="6" t="n"/>
      <c r="FX49" s="6" t="n"/>
      <c r="FY49" s="6" t="n"/>
      <c r="FZ49" s="6" t="n"/>
      <c r="GA49" s="6" t="n"/>
      <c r="GB49" s="6" t="n"/>
      <c r="GC49" s="6" t="n"/>
      <c r="GD49" s="6" t="n"/>
      <c r="GE49" s="6" t="n"/>
      <c r="GF49" s="6" t="n"/>
      <c r="GG49" s="6" t="n"/>
      <c r="GH49" s="6" t="n"/>
      <c r="GI49" s="6" t="n"/>
      <c r="GJ49" s="6" t="n"/>
      <c r="GK49" s="6" t="n"/>
      <c r="GL49" s="6" t="n"/>
      <c r="GM49" s="6" t="n"/>
      <c r="GN49" s="6" t="n"/>
    </row>
    <row r="50" ht="16.05" customHeight="1" s="11">
      <c r="C50" s="184" t="inlineStr">
        <is>
          <t>Account NO.380558366332</t>
        </is>
      </c>
      <c r="F50" s="42" t="n"/>
      <c r="G50" s="42" t="n"/>
      <c r="H50" s="236" t="n"/>
      <c r="I50" s="184" t="inlineStr">
        <is>
          <t>Account NO.380558366332</t>
        </is>
      </c>
      <c r="O50" s="7" t="n"/>
      <c r="P50" s="7" t="n"/>
      <c r="Q50" s="7" t="n"/>
      <c r="R50" s="200" t="n"/>
      <c r="T50" s="7" t="n"/>
      <c r="U50" s="7" t="n"/>
      <c r="V50" s="7" t="n"/>
      <c r="W50" s="7" t="n"/>
      <c r="X50" s="99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6" t="n"/>
      <c r="EF50" s="6" t="n"/>
      <c r="EG50" s="6" t="n"/>
      <c r="EH50" s="6" t="n"/>
      <c r="EI50" s="6" t="n"/>
      <c r="EJ50" s="6" t="n"/>
      <c r="EK50" s="6" t="n"/>
      <c r="EL50" s="6" t="n"/>
      <c r="EM50" s="6" t="n"/>
      <c r="EN50" s="6" t="n"/>
      <c r="EO50" s="6" t="n"/>
      <c r="EP50" s="6" t="n"/>
      <c r="EQ50" s="6" t="n"/>
      <c r="ER50" s="6" t="n"/>
      <c r="ES50" s="6" t="n"/>
      <c r="ET50" s="6" t="n"/>
      <c r="EU50" s="6" t="n"/>
      <c r="EV50" s="6" t="n"/>
      <c r="EW50" s="6" t="n"/>
      <c r="EX50" s="6" t="n"/>
      <c r="EY50" s="6" t="n"/>
      <c r="EZ50" s="6" t="n"/>
      <c r="FA50" s="6" t="n"/>
      <c r="FB50" s="6" t="n"/>
      <c r="FC50" s="6" t="n"/>
      <c r="FD50" s="6" t="n"/>
      <c r="FE50" s="6" t="n"/>
      <c r="FF50" s="6" t="n"/>
      <c r="FG50" s="6" t="n"/>
      <c r="FH50" s="6" t="n"/>
      <c r="FI50" s="6" t="n"/>
      <c r="FJ50" s="6" t="n"/>
      <c r="FK50" s="6" t="n"/>
      <c r="FL50" s="6" t="n"/>
      <c r="FM50" s="6" t="n"/>
      <c r="FN50" s="6" t="n"/>
      <c r="FO50" s="6" t="n"/>
      <c r="FP50" s="6" t="n"/>
      <c r="FQ50" s="6" t="n"/>
      <c r="FR50" s="6" t="n"/>
      <c r="FS50" s="6" t="n"/>
      <c r="FT50" s="6" t="n"/>
      <c r="FU50" s="6" t="n"/>
      <c r="FV50" s="6" t="n"/>
      <c r="FW50" s="6" t="n"/>
      <c r="FX50" s="6" t="n"/>
      <c r="FY50" s="6" t="n"/>
      <c r="FZ50" s="6" t="n"/>
      <c r="GA50" s="6" t="n"/>
      <c r="GB50" s="6" t="n"/>
      <c r="GC50" s="6" t="n"/>
      <c r="GD50" s="6" t="n"/>
      <c r="GE50" s="6" t="n"/>
      <c r="GF50" s="6" t="n"/>
      <c r="GG50" s="6" t="n"/>
      <c r="GH50" s="6" t="n"/>
      <c r="GI50" s="6" t="n"/>
      <c r="GJ50" s="6" t="n"/>
      <c r="GK50" s="6" t="n"/>
      <c r="GL50" s="6" t="n"/>
      <c r="GM50" s="6" t="n"/>
      <c r="GN50" s="6" t="n"/>
    </row>
    <row r="51" ht="16.05" customHeight="1" s="11">
      <c r="C51" s="184" t="inlineStr">
        <is>
          <t xml:space="preserve"> Intermediary Bank: Bank of China, New York Branch (ABA NO: 326) (Swift: BKCHUS33)</t>
        </is>
      </c>
      <c r="F51" s="42" t="n"/>
      <c r="G51" s="42" t="n"/>
      <c r="H51" s="236" t="n"/>
      <c r="I51" s="184" t="inlineStr">
        <is>
          <t xml:space="preserve"> Intermediary Bank: Bank of China, New York Branch (ABA NO: 326) (Swift: BKCHUS33)</t>
        </is>
      </c>
      <c r="O51" s="7" t="n"/>
      <c r="P51" s="7" t="n"/>
      <c r="Q51" s="7" t="n"/>
      <c r="R51" s="105" t="n"/>
      <c r="T51" s="7" t="n"/>
      <c r="U51" s="7" t="n"/>
      <c r="V51" s="7" t="n"/>
      <c r="W51" s="7" t="n"/>
      <c r="X51" s="7" t="n"/>
      <c r="Y51" s="7" t="n"/>
      <c r="Z51" s="200" t="n"/>
      <c r="AA51" s="7" t="n"/>
      <c r="AB51" s="7" t="n"/>
      <c r="AC51" s="7" t="n"/>
      <c r="AD51" s="7" t="n"/>
      <c r="AE51" s="7" t="n"/>
      <c r="AF51" s="99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6" t="n"/>
      <c r="EF51" s="6" t="n"/>
      <c r="EG51" s="6" t="n"/>
      <c r="EH51" s="6" t="n"/>
      <c r="EI51" s="6" t="n"/>
      <c r="EJ51" s="6" t="n"/>
      <c r="EK51" s="6" t="n"/>
      <c r="EL51" s="6" t="n"/>
      <c r="EM51" s="6" t="n"/>
      <c r="EN51" s="6" t="n"/>
      <c r="EO51" s="6" t="n"/>
      <c r="EP51" s="6" t="n"/>
      <c r="EQ51" s="6" t="n"/>
      <c r="ER51" s="6" t="n"/>
      <c r="ES51" s="6" t="n"/>
      <c r="ET51" s="6" t="n"/>
      <c r="EU51" s="6" t="n"/>
      <c r="EV51" s="6" t="n"/>
      <c r="EW51" s="6" t="n"/>
      <c r="EX51" s="6" t="n"/>
      <c r="EY51" s="6" t="n"/>
      <c r="EZ51" s="6" t="n"/>
      <c r="FA51" s="6" t="n"/>
      <c r="FB51" s="6" t="n"/>
      <c r="FC51" s="6" t="n"/>
      <c r="FD51" s="6" t="n"/>
      <c r="FE51" s="6" t="n"/>
      <c r="FF51" s="6" t="n"/>
      <c r="FG51" s="6" t="n"/>
      <c r="FH51" s="6" t="n"/>
      <c r="FI51" s="6" t="n"/>
      <c r="FJ51" s="6" t="n"/>
      <c r="FK51" s="6" t="n"/>
      <c r="FL51" s="6" t="n"/>
      <c r="FM51" s="6" t="n"/>
      <c r="FN51" s="6" t="n"/>
      <c r="FO51" s="6" t="n"/>
      <c r="FP51" s="6" t="n"/>
      <c r="FQ51" s="6" t="n"/>
      <c r="FR51" s="6" t="n"/>
      <c r="FS51" s="6" t="n"/>
      <c r="FT51" s="6" t="n"/>
      <c r="FU51" s="6" t="n"/>
      <c r="FV51" s="6" t="n"/>
      <c r="FW51" s="6" t="n"/>
      <c r="FX51" s="6" t="n"/>
      <c r="FY51" s="6" t="n"/>
      <c r="FZ51" s="6" t="n"/>
      <c r="GA51" s="6" t="n"/>
      <c r="GB51" s="6" t="n"/>
      <c r="GC51" s="6" t="n"/>
      <c r="GD51" s="6" t="n"/>
      <c r="GE51" s="6" t="n"/>
      <c r="GF51" s="6" t="n"/>
      <c r="GG51" s="6" t="n"/>
      <c r="GH51" s="6" t="n"/>
      <c r="GI51" s="6" t="n"/>
      <c r="GJ51" s="6" t="n"/>
      <c r="GK51" s="6" t="n"/>
      <c r="GL51" s="6" t="n"/>
      <c r="GM51" s="6" t="n"/>
      <c r="GN51" s="6" t="n"/>
    </row>
    <row r="52" ht="16.05" customHeight="1" s="11">
      <c r="C52" s="184" t="inlineStr">
        <is>
          <t xml:space="preserve">Account (UID 220613) </t>
        </is>
      </c>
      <c r="F52" s="42" t="n"/>
      <c r="G52" s="42" t="n"/>
      <c r="H52" s="236" t="n"/>
      <c r="I52" s="184" t="inlineStr">
        <is>
          <t xml:space="preserve">Account (UID 220613) </t>
        </is>
      </c>
      <c r="O52" s="7" t="n"/>
      <c r="P52" s="7" t="n"/>
      <c r="Q52" s="7" t="n"/>
      <c r="R52" s="105" t="n"/>
      <c r="T52" s="7" t="n"/>
      <c r="U52" s="7" t="n"/>
      <c r="V52" s="7" t="n"/>
      <c r="W52" s="7" t="n"/>
      <c r="X52" s="7" t="n"/>
      <c r="Y52" s="7" t="n"/>
      <c r="Z52" s="200" t="n"/>
      <c r="AA52" s="7" t="n"/>
      <c r="AB52" s="7" t="n"/>
      <c r="AC52" s="7" t="n"/>
      <c r="AD52" s="7" t="n"/>
      <c r="AE52" s="7" t="n"/>
      <c r="AF52" s="99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6" t="n"/>
      <c r="EF52" s="6" t="n"/>
      <c r="EG52" s="6" t="n"/>
      <c r="EH52" s="6" t="n"/>
      <c r="EI52" s="6" t="n"/>
      <c r="EJ52" s="6" t="n"/>
      <c r="EK52" s="6" t="n"/>
      <c r="EL52" s="6" t="n"/>
      <c r="EM52" s="6" t="n"/>
      <c r="EN52" s="6" t="n"/>
      <c r="EO52" s="6" t="n"/>
      <c r="EP52" s="6" t="n"/>
      <c r="EQ52" s="6" t="n"/>
      <c r="ER52" s="6" t="n"/>
      <c r="ES52" s="6" t="n"/>
      <c r="ET52" s="6" t="n"/>
      <c r="EU52" s="6" t="n"/>
      <c r="EV52" s="6" t="n"/>
      <c r="EW52" s="6" t="n"/>
      <c r="EX52" s="6" t="n"/>
      <c r="EY52" s="6" t="n"/>
      <c r="EZ52" s="6" t="n"/>
      <c r="FA52" s="6" t="n"/>
      <c r="FB52" s="6" t="n"/>
      <c r="FC52" s="6" t="n"/>
      <c r="FD52" s="6" t="n"/>
      <c r="FE52" s="6" t="n"/>
      <c r="FF52" s="6" t="n"/>
      <c r="FG52" s="6" t="n"/>
      <c r="FH52" s="6" t="n"/>
      <c r="FI52" s="6" t="n"/>
      <c r="FJ52" s="6" t="n"/>
      <c r="FK52" s="6" t="n"/>
      <c r="FL52" s="6" t="n"/>
      <c r="FM52" s="6" t="n"/>
      <c r="FN52" s="6" t="n"/>
      <c r="FO52" s="6" t="n"/>
      <c r="FP52" s="6" t="n"/>
      <c r="FQ52" s="6" t="n"/>
      <c r="FR52" s="6" t="n"/>
      <c r="FS52" s="6" t="n"/>
      <c r="FT52" s="6" t="n"/>
      <c r="FU52" s="6" t="n"/>
      <c r="FV52" s="6" t="n"/>
      <c r="FW52" s="6" t="n"/>
      <c r="FX52" s="6" t="n"/>
      <c r="FY52" s="6" t="n"/>
      <c r="FZ52" s="6" t="n"/>
      <c r="GA52" s="6" t="n"/>
      <c r="GB52" s="6" t="n"/>
      <c r="GC52" s="6" t="n"/>
      <c r="GD52" s="6" t="n"/>
      <c r="GE52" s="6" t="n"/>
      <c r="GF52" s="6" t="n"/>
      <c r="GG52" s="6" t="n"/>
      <c r="GH52" s="6" t="n"/>
      <c r="GI52" s="6" t="n"/>
      <c r="GJ52" s="6" t="n"/>
      <c r="GK52" s="6" t="n"/>
      <c r="GL52" s="6" t="n"/>
      <c r="GM52" s="6" t="n"/>
      <c r="GN52" s="6" t="n"/>
    </row>
    <row r="53" ht="17.25" customHeight="1" s="11">
      <c r="C53" s="184" t="inlineStr">
        <is>
          <t>Beneficiary's Bank: (L/C Advising Bank) Bank of China, Zhejiang Branch</t>
        </is>
      </c>
      <c r="F53" s="42" t="n"/>
      <c r="G53" s="42" t="n"/>
      <c r="H53" s="236" t="n"/>
      <c r="I53" s="184" t="inlineStr">
        <is>
          <t>Beneficiary's Bank: (L/C Advising Bank) Bank of China, Zhejiang Branch</t>
        </is>
      </c>
      <c r="O53" s="7" t="n"/>
      <c r="P53" s="7" t="n"/>
      <c r="Q53" s="7" t="n"/>
      <c r="R53" s="105" t="n"/>
      <c r="T53" s="7" t="n"/>
      <c r="U53" s="7" t="n"/>
      <c r="V53" s="7" t="n"/>
      <c r="W53" s="7" t="n"/>
      <c r="X53" s="7" t="n"/>
      <c r="Y53" s="7" t="n"/>
      <c r="Z53" s="200" t="n"/>
      <c r="AA53" s="7" t="n"/>
      <c r="AB53" s="7" t="n"/>
      <c r="AC53" s="7" t="n"/>
      <c r="AD53" s="7" t="n"/>
      <c r="AE53" s="7" t="n"/>
      <c r="AF53" s="99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6" t="n"/>
      <c r="EF53" s="6" t="n"/>
      <c r="EG53" s="6" t="n"/>
      <c r="EH53" s="6" t="n"/>
      <c r="EI53" s="6" t="n"/>
      <c r="EJ53" s="6" t="n"/>
      <c r="EK53" s="6" t="n"/>
      <c r="EL53" s="6" t="n"/>
      <c r="EM53" s="6" t="n"/>
      <c r="EN53" s="6" t="n"/>
      <c r="EO53" s="6" t="n"/>
      <c r="EP53" s="6" t="n"/>
      <c r="EQ53" s="6" t="n"/>
      <c r="ER53" s="6" t="n"/>
      <c r="ES53" s="6" t="n"/>
      <c r="ET53" s="6" t="n"/>
      <c r="EU53" s="6" t="n"/>
      <c r="EV53" s="6" t="n"/>
      <c r="EW53" s="6" t="n"/>
      <c r="EX53" s="6" t="n"/>
      <c r="EY53" s="6" t="n"/>
      <c r="EZ53" s="6" t="n"/>
      <c r="FA53" s="6" t="n"/>
      <c r="FB53" s="6" t="n"/>
      <c r="FC53" s="6" t="n"/>
      <c r="FD53" s="6" t="n"/>
      <c r="FE53" s="6" t="n"/>
      <c r="FF53" s="6" t="n"/>
      <c r="FG53" s="6" t="n"/>
      <c r="FH53" s="6" t="n"/>
      <c r="FI53" s="6" t="n"/>
      <c r="FJ53" s="6" t="n"/>
      <c r="FK53" s="6" t="n"/>
      <c r="FL53" s="6" t="n"/>
      <c r="FM53" s="6" t="n"/>
      <c r="FN53" s="6" t="n"/>
      <c r="FO53" s="6" t="n"/>
      <c r="FP53" s="6" t="n"/>
      <c r="FQ53" s="6" t="n"/>
      <c r="FR53" s="6" t="n"/>
      <c r="FS53" s="6" t="n"/>
      <c r="FT53" s="6" t="n"/>
      <c r="FU53" s="6" t="n"/>
      <c r="FV53" s="6" t="n"/>
      <c r="FW53" s="6" t="n"/>
      <c r="FX53" s="6" t="n"/>
      <c r="FY53" s="6" t="n"/>
      <c r="FZ53" s="6" t="n"/>
      <c r="GA53" s="6" t="n"/>
      <c r="GB53" s="6" t="n"/>
      <c r="GC53" s="6" t="n"/>
      <c r="GD53" s="6" t="n"/>
      <c r="GE53" s="6" t="n"/>
      <c r="GF53" s="6" t="n"/>
      <c r="GG53" s="6" t="n"/>
      <c r="GH53" s="6" t="n"/>
      <c r="GI53" s="6" t="n"/>
      <c r="GJ53" s="6" t="n"/>
      <c r="GK53" s="6" t="n"/>
      <c r="GL53" s="6" t="n"/>
      <c r="GM53" s="6" t="n"/>
      <c r="GN53" s="6" t="n"/>
    </row>
    <row r="54" ht="13.5" customHeight="1" s="11">
      <c r="C54" s="184" t="inlineStr">
        <is>
          <t>321 Fengqi Road, Hangzhou , Zhejiang 310006 P.R. China</t>
        </is>
      </c>
      <c r="F54" s="42" t="n"/>
      <c r="G54" s="42" t="n"/>
      <c r="H54" s="236" t="n"/>
      <c r="I54" s="184" t="inlineStr">
        <is>
          <t>321 Fengqi Road, Hangzhou , Zhejiang 310006 P.R. China</t>
        </is>
      </c>
      <c r="O54" s="7" t="n"/>
      <c r="P54" s="7" t="n"/>
      <c r="Q54" s="7" t="n"/>
      <c r="R54" s="105" t="n"/>
      <c r="T54" s="7" t="n"/>
      <c r="U54" s="7" t="n"/>
      <c r="V54" s="7" t="n"/>
      <c r="W54" s="7" t="n"/>
      <c r="X54" s="7" t="n"/>
      <c r="Y54" s="7" t="n"/>
      <c r="Z54" s="200" t="n"/>
      <c r="AA54" s="7" t="n"/>
      <c r="AB54" s="7" t="n"/>
      <c r="AC54" s="7" t="n"/>
      <c r="AD54" s="7" t="n"/>
      <c r="AE54" s="7" t="n"/>
      <c r="AF54" s="99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6" t="n"/>
      <c r="EF54" s="6" t="n"/>
      <c r="EG54" s="6" t="n"/>
      <c r="EH54" s="6" t="n"/>
      <c r="EI54" s="6" t="n"/>
      <c r="EJ54" s="6" t="n"/>
      <c r="EK54" s="6" t="n"/>
      <c r="EL54" s="6" t="n"/>
      <c r="EM54" s="6" t="n"/>
      <c r="EN54" s="6" t="n"/>
      <c r="EO54" s="6" t="n"/>
      <c r="EP54" s="6" t="n"/>
      <c r="EQ54" s="6" t="n"/>
      <c r="ER54" s="6" t="n"/>
      <c r="ES54" s="6" t="n"/>
      <c r="ET54" s="6" t="n"/>
      <c r="EU54" s="6" t="n"/>
      <c r="EV54" s="6" t="n"/>
      <c r="EW54" s="6" t="n"/>
      <c r="EX54" s="6" t="n"/>
      <c r="EY54" s="6" t="n"/>
      <c r="EZ54" s="6" t="n"/>
      <c r="FA54" s="6" t="n"/>
      <c r="FB54" s="6" t="n"/>
      <c r="FC54" s="6" t="n"/>
      <c r="FD54" s="6" t="n"/>
      <c r="FE54" s="6" t="n"/>
      <c r="FF54" s="6" t="n"/>
      <c r="FG54" s="6" t="n"/>
      <c r="FH54" s="6" t="n"/>
      <c r="FI54" s="6" t="n"/>
      <c r="FJ54" s="6" t="n"/>
      <c r="FK54" s="6" t="n"/>
      <c r="FL54" s="6" t="n"/>
      <c r="FM54" s="6" t="n"/>
      <c r="FN54" s="6" t="n"/>
      <c r="FO54" s="6" t="n"/>
      <c r="FP54" s="6" t="n"/>
      <c r="FQ54" s="6" t="n"/>
      <c r="FR54" s="6" t="n"/>
      <c r="FS54" s="6" t="n"/>
      <c r="FT54" s="6" t="n"/>
      <c r="FU54" s="6" t="n"/>
      <c r="FV54" s="6" t="n"/>
      <c r="FW54" s="6" t="n"/>
      <c r="FX54" s="6" t="n"/>
      <c r="FY54" s="6" t="n"/>
      <c r="FZ54" s="6" t="n"/>
      <c r="GA54" s="6" t="n"/>
      <c r="GB54" s="6" t="n"/>
      <c r="GC54" s="6" t="n"/>
      <c r="GD54" s="6" t="n"/>
      <c r="GE54" s="6" t="n"/>
      <c r="GF54" s="6" t="n"/>
      <c r="GG54" s="6" t="n"/>
      <c r="GH54" s="6" t="n"/>
      <c r="GI54" s="6" t="n"/>
      <c r="GJ54" s="6" t="n"/>
      <c r="GK54" s="6" t="n"/>
      <c r="GL54" s="6" t="n"/>
      <c r="GM54" s="6" t="n"/>
      <c r="GN54" s="6" t="n"/>
    </row>
    <row r="55" ht="15.75" customHeight="1" s="11">
      <c r="C55" s="184" t="inlineStr">
        <is>
          <t>(Attn: Yuhang Sub-Branch) Swift: BKCHCNBJ910</t>
        </is>
      </c>
      <c r="F55" s="42" t="n"/>
      <c r="G55" s="42" t="n"/>
      <c r="H55" s="236" t="n"/>
      <c r="I55" s="184" t="inlineStr">
        <is>
          <t>(Attn: Yuhang Sub-Branch) Swift: BKCHCNBJ910</t>
        </is>
      </c>
      <c r="O55" s="7" t="n"/>
      <c r="P55" s="7" t="n"/>
      <c r="Q55" s="7" t="n"/>
      <c r="R55" s="105" t="n"/>
      <c r="T55" s="7" t="n"/>
      <c r="U55" s="7" t="n"/>
      <c r="V55" s="7" t="n"/>
      <c r="W55" s="7" t="n"/>
      <c r="X55" s="7" t="n"/>
      <c r="Y55" s="7" t="n"/>
      <c r="Z55" s="200" t="n"/>
      <c r="AA55" s="7" t="n"/>
      <c r="AB55" s="7" t="n"/>
      <c r="AC55" s="7" t="n"/>
      <c r="AD55" s="7" t="n"/>
      <c r="AE55" s="7" t="n"/>
      <c r="AF55" s="99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6" t="n"/>
      <c r="EF55" s="6" t="n"/>
      <c r="EG55" s="6" t="n"/>
      <c r="EH55" s="6" t="n"/>
      <c r="EI55" s="6" t="n"/>
      <c r="EJ55" s="6" t="n"/>
      <c r="EK55" s="6" t="n"/>
      <c r="EL55" s="6" t="n"/>
      <c r="EM55" s="6" t="n"/>
      <c r="EN55" s="6" t="n"/>
      <c r="EO55" s="6" t="n"/>
      <c r="EP55" s="6" t="n"/>
      <c r="EQ55" s="6" t="n"/>
      <c r="ER55" s="6" t="n"/>
      <c r="ES55" s="6" t="n"/>
      <c r="ET55" s="6" t="n"/>
      <c r="EU55" s="6" t="n"/>
      <c r="EV55" s="6" t="n"/>
      <c r="EW55" s="6" t="n"/>
      <c r="EX55" s="6" t="n"/>
      <c r="EY55" s="6" t="n"/>
      <c r="EZ55" s="6" t="n"/>
      <c r="FA55" s="6" t="n"/>
      <c r="FB55" s="6" t="n"/>
      <c r="FC55" s="6" t="n"/>
      <c r="FD55" s="6" t="n"/>
      <c r="FE55" s="6" t="n"/>
      <c r="FF55" s="6" t="n"/>
      <c r="FG55" s="6" t="n"/>
      <c r="FH55" s="6" t="n"/>
      <c r="FI55" s="6" t="n"/>
      <c r="FJ55" s="6" t="n"/>
      <c r="FK55" s="6" t="n"/>
      <c r="FL55" s="6" t="n"/>
      <c r="FM55" s="6" t="n"/>
      <c r="FN55" s="6" t="n"/>
      <c r="FO55" s="6" t="n"/>
      <c r="FP55" s="6" t="n"/>
      <c r="FQ55" s="6" t="n"/>
      <c r="FR55" s="6" t="n"/>
      <c r="FS55" s="6" t="n"/>
      <c r="FT55" s="6" t="n"/>
      <c r="FU55" s="6" t="n"/>
      <c r="FV55" s="6" t="n"/>
      <c r="FW55" s="6" t="n"/>
      <c r="FX55" s="6" t="n"/>
      <c r="FY55" s="6" t="n"/>
      <c r="FZ55" s="6" t="n"/>
      <c r="GA55" s="6" t="n"/>
      <c r="GB55" s="6" t="n"/>
      <c r="GC55" s="6" t="n"/>
      <c r="GD55" s="6" t="n"/>
      <c r="GE55" s="6" t="n"/>
      <c r="GF55" s="6" t="n"/>
      <c r="GG55" s="6" t="n"/>
      <c r="GH55" s="6" t="n"/>
      <c r="GI55" s="6" t="n"/>
      <c r="GJ55" s="6" t="n"/>
      <c r="GK55" s="6" t="n"/>
      <c r="GL55" s="6" t="n"/>
      <c r="GM55" s="6" t="n"/>
      <c r="GN55" s="6" t="n"/>
    </row>
    <row r="56" ht="17.25" customHeight="1" s="11">
      <c r="C56" s="46" t="n"/>
      <c r="D56" s="46" t="n"/>
      <c r="E56" s="54" t="n"/>
      <c r="F56" s="38" t="n"/>
      <c r="G56" s="38" t="n"/>
      <c r="H56" s="236" t="n"/>
      <c r="I56" s="184" t="n"/>
      <c r="J56" s="237" t="n"/>
      <c r="K56" s="58" t="n"/>
      <c r="L56" s="238" t="n"/>
      <c r="M56" s="58" t="n"/>
      <c r="N56" s="237" t="n"/>
      <c r="O56" s="7" t="n"/>
      <c r="P56" s="7" t="n"/>
      <c r="Q56" s="7" t="n"/>
      <c r="R56" s="105" t="n"/>
      <c r="T56" s="7" t="n"/>
      <c r="U56" s="7" t="n"/>
      <c r="V56" s="7" t="n"/>
      <c r="W56" s="7" t="n"/>
      <c r="X56" s="7" t="n"/>
      <c r="Y56" s="7" t="n"/>
      <c r="Z56" s="200" t="n"/>
      <c r="AA56" s="7" t="n"/>
      <c r="AB56" s="7" t="n"/>
      <c r="AC56" s="7" t="n"/>
      <c r="AD56" s="7" t="n"/>
      <c r="AE56" s="7" t="n"/>
      <c r="AF56" s="99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6" t="n"/>
      <c r="EF56" s="6" t="n"/>
      <c r="EG56" s="6" t="n"/>
      <c r="EH56" s="6" t="n"/>
      <c r="EI56" s="6" t="n"/>
      <c r="EJ56" s="6" t="n"/>
      <c r="EK56" s="6" t="n"/>
      <c r="EL56" s="6" t="n"/>
      <c r="EM56" s="6" t="n"/>
      <c r="EN56" s="6" t="n"/>
      <c r="EO56" s="6" t="n"/>
      <c r="EP56" s="6" t="n"/>
      <c r="EQ56" s="6" t="n"/>
      <c r="ER56" s="6" t="n"/>
      <c r="ES56" s="6" t="n"/>
      <c r="ET56" s="6" t="n"/>
      <c r="EU56" s="6" t="n"/>
      <c r="EV56" s="6" t="n"/>
      <c r="EW56" s="6" t="n"/>
      <c r="EX56" s="6" t="n"/>
      <c r="EY56" s="6" t="n"/>
      <c r="EZ56" s="6" t="n"/>
      <c r="FA56" s="6" t="n"/>
      <c r="FB56" s="6" t="n"/>
      <c r="FC56" s="6" t="n"/>
      <c r="FD56" s="6" t="n"/>
      <c r="FE56" s="6" t="n"/>
      <c r="FF56" s="6" t="n"/>
      <c r="FG56" s="6" t="n"/>
      <c r="FH56" s="6" t="n"/>
      <c r="FI56" s="6" t="n"/>
      <c r="FJ56" s="6" t="n"/>
      <c r="FK56" s="6" t="n"/>
      <c r="FL56" s="6" t="n"/>
      <c r="FM56" s="6" t="n"/>
      <c r="FN56" s="6" t="n"/>
      <c r="FO56" s="6" t="n"/>
      <c r="FP56" s="6" t="n"/>
      <c r="FQ56" s="6" t="n"/>
      <c r="FR56" s="6" t="n"/>
      <c r="FS56" s="6" t="n"/>
      <c r="FT56" s="6" t="n"/>
      <c r="FU56" s="6" t="n"/>
      <c r="FV56" s="6" t="n"/>
      <c r="FW56" s="6" t="n"/>
      <c r="FX56" s="6" t="n"/>
      <c r="FY56" s="6" t="n"/>
      <c r="FZ56" s="6" t="n"/>
      <c r="GA56" s="6" t="n"/>
      <c r="GB56" s="6" t="n"/>
      <c r="GC56" s="6" t="n"/>
      <c r="GD56" s="6" t="n"/>
      <c r="GE56" s="6" t="n"/>
      <c r="GF56" s="6" t="n"/>
      <c r="GG56" s="6" t="n"/>
      <c r="GH56" s="6" t="n"/>
      <c r="GI56" s="6" t="n"/>
      <c r="GJ56" s="6" t="n"/>
      <c r="GK56" s="6" t="n"/>
      <c r="GL56" s="6" t="n"/>
      <c r="GM56" s="6" t="n"/>
      <c r="GN56" s="6" t="n"/>
    </row>
    <row r="57" ht="21" customHeight="1" s="11">
      <c r="C57" s="184" t="inlineStr">
        <is>
          <t>Высший руководитель_________________Liu Zhihui</t>
        </is>
      </c>
      <c r="F57" s="42" t="n"/>
      <c r="G57" s="42" t="n"/>
      <c r="H57" s="236" t="n"/>
      <c r="I57" s="184" t="inlineStr">
        <is>
          <t>Top manager______________________Liu Zhihui</t>
        </is>
      </c>
      <c r="O57" s="7" t="n"/>
      <c r="P57" s="7" t="n"/>
      <c r="Q57" s="7" t="n"/>
      <c r="R57" s="105" t="n"/>
      <c r="T57" s="7" t="n"/>
      <c r="U57" s="7" t="n"/>
      <c r="V57" s="7" t="n"/>
      <c r="W57" s="7" t="n"/>
      <c r="X57" s="7" t="n"/>
      <c r="Y57" s="7" t="n"/>
      <c r="Z57" s="200" t="n"/>
      <c r="AA57" s="7" t="n"/>
      <c r="AB57" s="7" t="n"/>
      <c r="AC57" s="7" t="n"/>
      <c r="AD57" s="7" t="n"/>
      <c r="AE57" s="7" t="n"/>
      <c r="AF57" s="99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  <c r="CQ57" s="7" t="n"/>
      <c r="CR57" s="7" t="n"/>
      <c r="CS57" s="7" t="n"/>
      <c r="CT57" s="7" t="n"/>
      <c r="CU57" s="7" t="n"/>
      <c r="CV57" s="7" t="n"/>
      <c r="CW57" s="7" t="n"/>
      <c r="CX57" s="7" t="n"/>
      <c r="CY57" s="7" t="n"/>
      <c r="CZ57" s="7" t="n"/>
      <c r="DA57" s="7" t="n"/>
      <c r="DB57" s="7" t="n"/>
      <c r="DC57" s="7" t="n"/>
      <c r="DD57" s="7" t="n"/>
      <c r="DE57" s="7" t="n"/>
      <c r="DF57" s="7" t="n"/>
      <c r="DG57" s="7" t="n"/>
      <c r="DH57" s="7" t="n"/>
      <c r="DI57" s="7" t="n"/>
      <c r="DJ57" s="7" t="n"/>
      <c r="DK57" s="7" t="n"/>
      <c r="DL57" s="7" t="n"/>
      <c r="DM57" s="7" t="n"/>
      <c r="DN57" s="7" t="n"/>
      <c r="DO57" s="7" t="n"/>
      <c r="DP57" s="7" t="n"/>
      <c r="DQ57" s="7" t="n"/>
      <c r="DR57" s="7" t="n"/>
      <c r="DS57" s="7" t="n"/>
      <c r="DT57" s="7" t="n"/>
      <c r="DU57" s="7" t="n"/>
      <c r="DV57" s="7" t="n"/>
      <c r="DW57" s="7" t="n"/>
      <c r="DX57" s="7" t="n"/>
      <c r="DY57" s="7" t="n"/>
      <c r="DZ57" s="7" t="n"/>
      <c r="EA57" s="7" t="n"/>
      <c r="EB57" s="7" t="n"/>
      <c r="EC57" s="7" t="n"/>
      <c r="ED57" s="7" t="n"/>
      <c r="EE57" s="6" t="n"/>
      <c r="EF57" s="6" t="n"/>
      <c r="EG57" s="6" t="n"/>
      <c r="EH57" s="6" t="n"/>
      <c r="EI57" s="6" t="n"/>
      <c r="EJ57" s="6" t="n"/>
      <c r="EK57" s="6" t="n"/>
      <c r="EL57" s="6" t="n"/>
      <c r="EM57" s="6" t="n"/>
      <c r="EN57" s="6" t="n"/>
      <c r="EO57" s="6" t="n"/>
      <c r="EP57" s="6" t="n"/>
      <c r="EQ57" s="6" t="n"/>
      <c r="ER57" s="6" t="n"/>
      <c r="ES57" s="6" t="n"/>
      <c r="ET57" s="6" t="n"/>
      <c r="EU57" s="6" t="n"/>
      <c r="EV57" s="6" t="n"/>
      <c r="EW57" s="6" t="n"/>
      <c r="EX57" s="6" t="n"/>
      <c r="EY57" s="6" t="n"/>
      <c r="EZ57" s="6" t="n"/>
      <c r="FA57" s="6" t="n"/>
      <c r="FB57" s="6" t="n"/>
      <c r="FC57" s="6" t="n"/>
      <c r="FD57" s="6" t="n"/>
      <c r="FE57" s="6" t="n"/>
      <c r="FF57" s="6" t="n"/>
      <c r="FG57" s="6" t="n"/>
      <c r="FH57" s="6" t="n"/>
      <c r="FI57" s="6" t="n"/>
      <c r="FJ57" s="6" t="n"/>
      <c r="FK57" s="6" t="n"/>
      <c r="FL57" s="6" t="n"/>
      <c r="FM57" s="6" t="n"/>
      <c r="FN57" s="6" t="n"/>
      <c r="FO57" s="6" t="n"/>
      <c r="FP57" s="6" t="n"/>
      <c r="FQ57" s="6" t="n"/>
      <c r="FR57" s="6" t="n"/>
      <c r="FS57" s="6" t="n"/>
      <c r="FT57" s="6" t="n"/>
      <c r="FU57" s="6" t="n"/>
      <c r="FV57" s="6" t="n"/>
      <c r="FW57" s="6" t="n"/>
      <c r="FX57" s="6" t="n"/>
      <c r="FY57" s="6" t="n"/>
      <c r="FZ57" s="6" t="n"/>
      <c r="GA57" s="6" t="n"/>
      <c r="GB57" s="6" t="n"/>
      <c r="GC57" s="6" t="n"/>
      <c r="GD57" s="6" t="n"/>
      <c r="GE57" s="6" t="n"/>
      <c r="GF57" s="6" t="n"/>
      <c r="GG57" s="6" t="n"/>
      <c r="GH57" s="6" t="n"/>
      <c r="GI57" s="6" t="n"/>
      <c r="GJ57" s="6" t="n"/>
      <c r="GK57" s="6" t="n"/>
      <c r="GL57" s="6" t="n"/>
      <c r="GM57" s="6" t="n"/>
      <c r="GN57" s="6" t="n"/>
    </row>
    <row r="58" ht="23.25" customHeight="1" s="11">
      <c r="C58" s="46" t="n"/>
      <c r="D58" s="46" t="n"/>
      <c r="E58" s="54" t="n"/>
      <c r="F58" s="38" t="n"/>
      <c r="G58" s="38" t="n"/>
      <c r="H58" s="236" t="n"/>
      <c r="I58" s="46" t="n"/>
      <c r="J58" s="237" t="n"/>
      <c r="K58" s="58" t="n"/>
      <c r="L58" s="238" t="n"/>
      <c r="M58" s="58" t="n"/>
      <c r="N58" s="237" t="n"/>
      <c r="O58" s="7" t="n"/>
      <c r="P58" s="7" t="n"/>
      <c r="Q58" s="7" t="n"/>
      <c r="R58" s="105" t="n"/>
      <c r="T58" s="7" t="n"/>
      <c r="U58" s="7" t="n"/>
      <c r="V58" s="7" t="n"/>
      <c r="W58" s="7" t="n"/>
      <c r="X58" s="7" t="n"/>
      <c r="Y58" s="7" t="n"/>
      <c r="Z58" s="200" t="n"/>
      <c r="AA58" s="7" t="n"/>
      <c r="AB58" s="7" t="n"/>
      <c r="AC58" s="7" t="n"/>
      <c r="AD58" s="7" t="n"/>
      <c r="AE58" s="7" t="n"/>
      <c r="AF58" s="99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  <c r="CQ58" s="7" t="n"/>
      <c r="CR58" s="7" t="n"/>
      <c r="CS58" s="7" t="n"/>
      <c r="CT58" s="7" t="n"/>
      <c r="CU58" s="7" t="n"/>
      <c r="CV58" s="7" t="n"/>
      <c r="CW58" s="7" t="n"/>
      <c r="CX58" s="7" t="n"/>
      <c r="CY58" s="7" t="n"/>
      <c r="CZ58" s="7" t="n"/>
      <c r="DA58" s="7" t="n"/>
      <c r="DB58" s="7" t="n"/>
      <c r="DC58" s="7" t="n"/>
      <c r="DD58" s="7" t="n"/>
      <c r="DE58" s="7" t="n"/>
      <c r="DF58" s="7" t="n"/>
      <c r="DG58" s="7" t="n"/>
      <c r="DH58" s="7" t="n"/>
      <c r="DI58" s="7" t="n"/>
      <c r="DJ58" s="7" t="n"/>
      <c r="DK58" s="7" t="n"/>
      <c r="DL58" s="7" t="n"/>
      <c r="DM58" s="7" t="n"/>
      <c r="DN58" s="7" t="n"/>
      <c r="DO58" s="7" t="n"/>
      <c r="DP58" s="7" t="n"/>
      <c r="DQ58" s="7" t="n"/>
      <c r="DR58" s="7" t="n"/>
      <c r="DS58" s="7" t="n"/>
      <c r="DT58" s="7" t="n"/>
      <c r="DU58" s="7" t="n"/>
      <c r="DV58" s="7" t="n"/>
      <c r="DW58" s="7" t="n"/>
      <c r="DX58" s="7" t="n"/>
      <c r="DY58" s="7" t="n"/>
      <c r="DZ58" s="7" t="n"/>
      <c r="EA58" s="7" t="n"/>
      <c r="EB58" s="7" t="n"/>
      <c r="EC58" s="7" t="n"/>
      <c r="ED58" s="7" t="n"/>
      <c r="EE58" s="6" t="n"/>
      <c r="EF58" s="6" t="n"/>
      <c r="EG58" s="6" t="n"/>
      <c r="EH58" s="6" t="n"/>
      <c r="EI58" s="6" t="n"/>
      <c r="EJ58" s="6" t="n"/>
      <c r="EK58" s="6" t="n"/>
      <c r="EL58" s="6" t="n"/>
      <c r="EM58" s="6" t="n"/>
      <c r="EN58" s="6" t="n"/>
      <c r="EO58" s="6" t="n"/>
      <c r="EP58" s="6" t="n"/>
      <c r="EQ58" s="6" t="n"/>
      <c r="ER58" s="6" t="n"/>
      <c r="ES58" s="6" t="n"/>
      <c r="ET58" s="6" t="n"/>
      <c r="EU58" s="6" t="n"/>
      <c r="EV58" s="6" t="n"/>
      <c r="EW58" s="6" t="n"/>
      <c r="EX58" s="6" t="n"/>
      <c r="EY58" s="6" t="n"/>
      <c r="EZ58" s="6" t="n"/>
      <c r="FA58" s="6" t="n"/>
      <c r="FB58" s="6" t="n"/>
      <c r="FC58" s="6" t="n"/>
      <c r="FD58" s="6" t="n"/>
      <c r="FE58" s="6" t="n"/>
      <c r="FF58" s="6" t="n"/>
      <c r="FG58" s="6" t="n"/>
      <c r="FH58" s="6" t="n"/>
      <c r="FI58" s="6" t="n"/>
      <c r="FJ58" s="6" t="n"/>
      <c r="FK58" s="6" t="n"/>
      <c r="FL58" s="6" t="n"/>
      <c r="FM58" s="6" t="n"/>
      <c r="FN58" s="6" t="n"/>
      <c r="FO58" s="6" t="n"/>
      <c r="FP58" s="6" t="n"/>
      <c r="FQ58" s="6" t="n"/>
      <c r="FR58" s="6" t="n"/>
      <c r="FS58" s="6" t="n"/>
      <c r="FT58" s="6" t="n"/>
      <c r="FU58" s="6" t="n"/>
      <c r="FV58" s="6" t="n"/>
      <c r="FW58" s="6" t="n"/>
      <c r="FX58" s="6" t="n"/>
      <c r="FY58" s="6" t="n"/>
      <c r="FZ58" s="6" t="n"/>
      <c r="GA58" s="6" t="n"/>
      <c r="GB58" s="6" t="n"/>
      <c r="GC58" s="6" t="n"/>
      <c r="GD58" s="6" t="n"/>
      <c r="GE58" s="6" t="n"/>
      <c r="GF58" s="6" t="n"/>
      <c r="GG58" s="6" t="n"/>
      <c r="GH58" s="6" t="n"/>
      <c r="GI58" s="6" t="n"/>
      <c r="GJ58" s="6" t="n"/>
      <c r="GK58" s="6" t="n"/>
      <c r="GL58" s="6" t="n"/>
      <c r="GM58" s="6" t="n"/>
      <c r="GN58" s="6" t="n"/>
    </row>
    <row r="59" ht="17.25" customHeight="1" s="11">
      <c r="C59" s="166" t="inlineStr">
        <is>
          <t>Покупатель:</t>
        </is>
      </c>
      <c r="F59" s="38" t="n"/>
      <c r="G59" s="38" t="n"/>
      <c r="H59" s="236" t="n"/>
      <c r="I59" s="182" t="inlineStr">
        <is>
          <t>Buyer:</t>
        </is>
      </c>
      <c r="J59" s="237" t="n"/>
      <c r="K59" s="58" t="n"/>
      <c r="L59" s="238" t="n"/>
      <c r="M59" s="58" t="n"/>
      <c r="N59" s="237" t="n"/>
      <c r="O59" s="7" t="n"/>
      <c r="P59" s="7" t="n"/>
      <c r="Q59" s="7" t="n"/>
      <c r="R59" s="105" t="n"/>
      <c r="T59" s="7" t="n"/>
      <c r="U59" s="7" t="n"/>
      <c r="V59" s="7" t="n"/>
      <c r="W59" s="7" t="n"/>
      <c r="X59" s="7" t="n"/>
      <c r="Y59" s="7" t="n"/>
      <c r="Z59" s="200" t="n"/>
      <c r="AA59" s="7" t="n"/>
      <c r="AB59" s="7" t="n"/>
      <c r="AC59" s="7" t="n"/>
      <c r="AD59" s="7" t="n"/>
      <c r="AE59" s="7" t="n"/>
      <c r="AF59" s="99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  <c r="CQ59" s="7" t="n"/>
      <c r="CR59" s="7" t="n"/>
      <c r="CS59" s="7" t="n"/>
      <c r="CT59" s="7" t="n"/>
      <c r="CU59" s="7" t="n"/>
      <c r="CV59" s="7" t="n"/>
      <c r="CW59" s="7" t="n"/>
      <c r="CX59" s="7" t="n"/>
      <c r="CY59" s="7" t="n"/>
      <c r="CZ59" s="7" t="n"/>
      <c r="DA59" s="7" t="n"/>
      <c r="DB59" s="7" t="n"/>
      <c r="DC59" s="7" t="n"/>
      <c r="DD59" s="7" t="n"/>
      <c r="DE59" s="7" t="n"/>
      <c r="DF59" s="7" t="n"/>
      <c r="DG59" s="7" t="n"/>
      <c r="DH59" s="7" t="n"/>
      <c r="DI59" s="7" t="n"/>
      <c r="DJ59" s="7" t="n"/>
      <c r="DK59" s="7" t="n"/>
      <c r="DL59" s="7" t="n"/>
      <c r="DM59" s="7" t="n"/>
      <c r="DN59" s="7" t="n"/>
      <c r="DO59" s="7" t="n"/>
      <c r="DP59" s="7" t="n"/>
      <c r="DQ59" s="7" t="n"/>
      <c r="DR59" s="7" t="n"/>
      <c r="DS59" s="7" t="n"/>
      <c r="DT59" s="7" t="n"/>
      <c r="DU59" s="7" t="n"/>
      <c r="DV59" s="7" t="n"/>
      <c r="DW59" s="7" t="n"/>
      <c r="DX59" s="7" t="n"/>
      <c r="DY59" s="7" t="n"/>
      <c r="DZ59" s="7" t="n"/>
      <c r="EA59" s="7" t="n"/>
      <c r="EB59" s="7" t="n"/>
      <c r="EC59" s="7" t="n"/>
      <c r="ED59" s="7" t="n"/>
      <c r="EE59" s="6" t="n"/>
      <c r="EF59" s="6" t="n"/>
      <c r="EG59" s="6" t="n"/>
      <c r="EH59" s="6" t="n"/>
      <c r="EI59" s="6" t="n"/>
      <c r="EJ59" s="6" t="n"/>
      <c r="EK59" s="6" t="n"/>
      <c r="EL59" s="6" t="n"/>
      <c r="EM59" s="6" t="n"/>
      <c r="EN59" s="6" t="n"/>
      <c r="EO59" s="6" t="n"/>
      <c r="EP59" s="6" t="n"/>
      <c r="EQ59" s="6" t="n"/>
      <c r="ER59" s="6" t="n"/>
      <c r="ES59" s="6" t="n"/>
      <c r="ET59" s="6" t="n"/>
      <c r="EU59" s="6" t="n"/>
      <c r="EV59" s="6" t="n"/>
      <c r="EW59" s="6" t="n"/>
      <c r="EX59" s="6" t="n"/>
      <c r="EY59" s="6" t="n"/>
      <c r="EZ59" s="6" t="n"/>
      <c r="FA59" s="6" t="n"/>
      <c r="FB59" s="6" t="n"/>
      <c r="FC59" s="6" t="n"/>
      <c r="FD59" s="6" t="n"/>
      <c r="FE59" s="6" t="n"/>
      <c r="FF59" s="6" t="n"/>
      <c r="FG59" s="6" t="n"/>
      <c r="FH59" s="6" t="n"/>
      <c r="FI59" s="6" t="n"/>
      <c r="FJ59" s="6" t="n"/>
      <c r="FK59" s="6" t="n"/>
      <c r="FL59" s="6" t="n"/>
      <c r="FM59" s="6" t="n"/>
      <c r="FN59" s="6" t="n"/>
      <c r="FO59" s="6" t="n"/>
      <c r="FP59" s="6" t="n"/>
      <c r="FQ59" s="6" t="n"/>
      <c r="FR59" s="6" t="n"/>
      <c r="FS59" s="6" t="n"/>
      <c r="FT59" s="6" t="n"/>
      <c r="FU59" s="6" t="n"/>
      <c r="FV59" s="6" t="n"/>
      <c r="FW59" s="6" t="n"/>
      <c r="FX59" s="6" t="n"/>
      <c r="FY59" s="6" t="n"/>
      <c r="FZ59" s="6" t="n"/>
      <c r="GA59" s="6" t="n"/>
      <c r="GB59" s="6" t="n"/>
      <c r="GC59" s="6" t="n"/>
      <c r="GD59" s="6" t="n"/>
      <c r="GE59" s="6" t="n"/>
      <c r="GF59" s="6" t="n"/>
      <c r="GG59" s="6" t="n"/>
      <c r="GH59" s="6" t="n"/>
      <c r="GI59" s="6" t="n"/>
      <c r="GJ59" s="6" t="n"/>
      <c r="GK59" s="6" t="n"/>
      <c r="GL59" s="6" t="n"/>
      <c r="GM59" s="6" t="n"/>
      <c r="GN59" s="6" t="n"/>
    </row>
    <row r="60" ht="17.25" customHeight="1" s="11">
      <c r="C60" s="188" t="inlineStr">
        <is>
          <t>OOO “СМ Регионтекстиль”</t>
        </is>
      </c>
      <c r="F60" s="38" t="n"/>
      <c r="G60" s="38" t="n"/>
      <c r="H60" s="236" t="n"/>
      <c r="I60" s="184" t="inlineStr">
        <is>
          <t>“SM REGIONTEKSTIL'” LLC</t>
        </is>
      </c>
      <c r="O60" s="7" t="n"/>
      <c r="P60" s="7" t="n"/>
      <c r="Q60" s="7" t="n"/>
      <c r="R60" s="105" t="n"/>
      <c r="T60" s="7" t="n"/>
      <c r="U60" s="7" t="n"/>
      <c r="V60" s="7" t="n"/>
      <c r="W60" s="7" t="n"/>
      <c r="X60" s="7" t="n"/>
      <c r="Y60" s="7" t="n"/>
      <c r="Z60" s="200" t="n"/>
      <c r="AA60" s="7" t="n"/>
      <c r="AB60" s="7" t="n"/>
      <c r="AC60" s="7" t="n"/>
      <c r="AD60" s="7" t="n"/>
      <c r="AE60" s="7" t="n"/>
      <c r="AF60" s="99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/>
      <c r="CN60" s="7" t="n"/>
      <c r="CO60" s="7" t="n"/>
      <c r="CP60" s="7" t="n"/>
      <c r="CQ60" s="7" t="n"/>
      <c r="CR60" s="7" t="n"/>
      <c r="CS60" s="7" t="n"/>
      <c r="CT60" s="7" t="n"/>
      <c r="CU60" s="7" t="n"/>
      <c r="CV60" s="7" t="n"/>
      <c r="CW60" s="7" t="n"/>
      <c r="CX60" s="7" t="n"/>
      <c r="CY60" s="7" t="n"/>
      <c r="CZ60" s="7" t="n"/>
      <c r="DA60" s="7" t="n"/>
      <c r="DB60" s="7" t="n"/>
      <c r="DC60" s="7" t="n"/>
      <c r="DD60" s="7" t="n"/>
      <c r="DE60" s="7" t="n"/>
      <c r="DF60" s="7" t="n"/>
      <c r="DG60" s="7" t="n"/>
      <c r="DH60" s="7" t="n"/>
      <c r="DI60" s="7" t="n"/>
      <c r="DJ60" s="7" t="n"/>
      <c r="DK60" s="7" t="n"/>
      <c r="DL60" s="7" t="n"/>
      <c r="DM60" s="7" t="n"/>
      <c r="DN60" s="7" t="n"/>
      <c r="DO60" s="7" t="n"/>
      <c r="DP60" s="7" t="n"/>
      <c r="DQ60" s="7" t="n"/>
      <c r="DR60" s="7" t="n"/>
      <c r="DS60" s="7" t="n"/>
      <c r="DT60" s="7" t="n"/>
      <c r="DU60" s="7" t="n"/>
      <c r="DV60" s="7" t="n"/>
      <c r="DW60" s="7" t="n"/>
      <c r="DX60" s="7" t="n"/>
      <c r="DY60" s="7" t="n"/>
      <c r="DZ60" s="7" t="n"/>
      <c r="EA60" s="7" t="n"/>
      <c r="EB60" s="7" t="n"/>
      <c r="EC60" s="7" t="n"/>
      <c r="ED60" s="7" t="n"/>
      <c r="EE60" s="6" t="n"/>
      <c r="EF60" s="6" t="n"/>
      <c r="EG60" s="6" t="n"/>
      <c r="EH60" s="6" t="n"/>
      <c r="EI60" s="6" t="n"/>
      <c r="EJ60" s="6" t="n"/>
      <c r="EK60" s="6" t="n"/>
      <c r="EL60" s="6" t="n"/>
      <c r="EM60" s="6" t="n"/>
      <c r="EN60" s="6" t="n"/>
      <c r="EO60" s="6" t="n"/>
      <c r="EP60" s="6" t="n"/>
      <c r="EQ60" s="6" t="n"/>
      <c r="ER60" s="6" t="n"/>
      <c r="ES60" s="6" t="n"/>
      <c r="ET60" s="6" t="n"/>
      <c r="EU60" s="6" t="n"/>
      <c r="EV60" s="6" t="n"/>
      <c r="EW60" s="6" t="n"/>
      <c r="EX60" s="6" t="n"/>
      <c r="EY60" s="6" t="n"/>
      <c r="EZ60" s="6" t="n"/>
      <c r="FA60" s="6" t="n"/>
      <c r="FB60" s="6" t="n"/>
      <c r="FC60" s="6" t="n"/>
      <c r="FD60" s="6" t="n"/>
      <c r="FE60" s="6" t="n"/>
      <c r="FF60" s="6" t="n"/>
      <c r="FG60" s="6" t="n"/>
      <c r="FH60" s="6" t="n"/>
      <c r="FI60" s="6" t="n"/>
      <c r="FJ60" s="6" t="n"/>
      <c r="FK60" s="6" t="n"/>
      <c r="FL60" s="6" t="n"/>
      <c r="FM60" s="6" t="n"/>
      <c r="FN60" s="6" t="n"/>
      <c r="FO60" s="6" t="n"/>
      <c r="FP60" s="6" t="n"/>
      <c r="FQ60" s="6" t="n"/>
      <c r="FR60" s="6" t="n"/>
      <c r="FS60" s="6" t="n"/>
      <c r="FT60" s="6" t="n"/>
      <c r="FU60" s="6" t="n"/>
      <c r="FV60" s="6" t="n"/>
      <c r="FW60" s="6" t="n"/>
      <c r="FX60" s="6" t="n"/>
      <c r="FY60" s="6" t="n"/>
      <c r="FZ60" s="6" t="n"/>
      <c r="GA60" s="6" t="n"/>
      <c r="GB60" s="6" t="n"/>
      <c r="GC60" s="6" t="n"/>
      <c r="GD60" s="6" t="n"/>
      <c r="GE60" s="6" t="n"/>
      <c r="GF60" s="6" t="n"/>
      <c r="GG60" s="6" t="n"/>
      <c r="GH60" s="6" t="n"/>
      <c r="GI60" s="6" t="n"/>
      <c r="GJ60" s="6" t="n"/>
      <c r="GK60" s="6" t="n"/>
      <c r="GL60" s="6" t="n"/>
      <c r="GM60" s="6" t="n"/>
      <c r="GN60" s="6" t="n"/>
    </row>
    <row r="61" ht="29.25" customHeight="1" s="11">
      <c r="C61" s="184" t="inlineStr">
        <is>
          <t>Адрес месторасположения и почтовый адрес: 143421, МОСКОВСКАЯ ОБЛАСТЬ, Г.О. КРАСНОГОРСК, ТЕР. АВТОДОРОГА БАЛТИЯ, КМ 21-Й, Д. 2, СТР. 1, ПОМЕЩ. 1</t>
        </is>
      </c>
      <c r="F61" s="42" t="n"/>
      <c r="G61" s="42" t="n"/>
      <c r="H61" s="236" t="n"/>
      <c r="I61" s="184" t="inlineStr">
        <is>
          <t>Address of location and post address: 143421 Moscow region, city of Krasnogorsk, 21st kilometer of Baltiya highway, comp. 2, bld. 1, prem. 1</t>
        </is>
      </c>
      <c r="O61" s="7" t="n"/>
      <c r="P61" s="7" t="n"/>
      <c r="Q61" s="7" t="n"/>
      <c r="R61" s="105" t="n"/>
      <c r="T61" s="7" t="n"/>
      <c r="U61" s="7" t="n"/>
      <c r="V61" s="7" t="n"/>
      <c r="W61" s="7" t="n"/>
      <c r="X61" s="7" t="n"/>
      <c r="Y61" s="7" t="n"/>
      <c r="Z61" s="200" t="n"/>
      <c r="AA61" s="7" t="n"/>
      <c r="AB61" s="7" t="n"/>
      <c r="AC61" s="7" t="n"/>
      <c r="AD61" s="7" t="n"/>
      <c r="AE61" s="7" t="n"/>
      <c r="AF61" s="99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  <c r="CQ61" s="7" t="n"/>
      <c r="CR61" s="7" t="n"/>
      <c r="CS61" s="7" t="n"/>
      <c r="CT61" s="7" t="n"/>
      <c r="CU61" s="7" t="n"/>
      <c r="CV61" s="7" t="n"/>
      <c r="CW61" s="7" t="n"/>
      <c r="CX61" s="7" t="n"/>
      <c r="CY61" s="7" t="n"/>
      <c r="CZ61" s="7" t="n"/>
      <c r="DA61" s="7" t="n"/>
      <c r="DB61" s="7" t="n"/>
      <c r="DC61" s="7" t="n"/>
      <c r="DD61" s="7" t="n"/>
      <c r="DE61" s="7" t="n"/>
      <c r="DF61" s="7" t="n"/>
      <c r="DG61" s="7" t="n"/>
      <c r="DH61" s="7" t="n"/>
      <c r="DI61" s="7" t="n"/>
      <c r="DJ61" s="7" t="n"/>
      <c r="DK61" s="7" t="n"/>
      <c r="DL61" s="7" t="n"/>
      <c r="DM61" s="7" t="n"/>
      <c r="DN61" s="7" t="n"/>
      <c r="DO61" s="7" t="n"/>
      <c r="DP61" s="7" t="n"/>
      <c r="DQ61" s="7" t="n"/>
      <c r="DR61" s="7" t="n"/>
      <c r="DS61" s="7" t="n"/>
      <c r="DT61" s="7" t="n"/>
      <c r="DU61" s="7" t="n"/>
      <c r="DV61" s="7" t="n"/>
      <c r="DW61" s="7" t="n"/>
      <c r="DX61" s="7" t="n"/>
      <c r="DY61" s="7" t="n"/>
      <c r="DZ61" s="7" t="n"/>
      <c r="EA61" s="7" t="n"/>
      <c r="EB61" s="7" t="n"/>
      <c r="EC61" s="7" t="n"/>
      <c r="ED61" s="7" t="n"/>
      <c r="EE61" s="6" t="n"/>
      <c r="EF61" s="6" t="n"/>
      <c r="EG61" s="6" t="n"/>
      <c r="EH61" s="6" t="n"/>
      <c r="EI61" s="6" t="n"/>
      <c r="EJ61" s="6" t="n"/>
      <c r="EK61" s="6" t="n"/>
      <c r="EL61" s="6" t="n"/>
      <c r="EM61" s="6" t="n"/>
      <c r="EN61" s="6" t="n"/>
      <c r="EO61" s="6" t="n"/>
      <c r="EP61" s="6" t="n"/>
      <c r="EQ61" s="6" t="n"/>
      <c r="ER61" s="6" t="n"/>
      <c r="ES61" s="6" t="n"/>
      <c r="ET61" s="6" t="n"/>
      <c r="EU61" s="6" t="n"/>
      <c r="EV61" s="6" t="n"/>
      <c r="EW61" s="6" t="n"/>
      <c r="EX61" s="6" t="n"/>
      <c r="EY61" s="6" t="n"/>
      <c r="EZ61" s="6" t="n"/>
      <c r="FA61" s="6" t="n"/>
      <c r="FB61" s="6" t="n"/>
      <c r="FC61" s="6" t="n"/>
      <c r="FD61" s="6" t="n"/>
      <c r="FE61" s="6" t="n"/>
      <c r="FF61" s="6" t="n"/>
      <c r="FG61" s="6" t="n"/>
      <c r="FH61" s="6" t="n"/>
      <c r="FI61" s="6" t="n"/>
      <c r="FJ61" s="6" t="n"/>
      <c r="FK61" s="6" t="n"/>
      <c r="FL61" s="6" t="n"/>
      <c r="FM61" s="6" t="n"/>
      <c r="FN61" s="6" t="n"/>
      <c r="FO61" s="6" t="n"/>
      <c r="FP61" s="6" t="n"/>
      <c r="FQ61" s="6" t="n"/>
      <c r="FR61" s="6" t="n"/>
      <c r="FS61" s="6" t="n"/>
      <c r="FT61" s="6" t="n"/>
      <c r="FU61" s="6" t="n"/>
      <c r="FV61" s="6" t="n"/>
      <c r="FW61" s="6" t="n"/>
      <c r="FX61" s="6" t="n"/>
      <c r="FY61" s="6" t="n"/>
      <c r="FZ61" s="6" t="n"/>
      <c r="GA61" s="6" t="n"/>
      <c r="GB61" s="6" t="n"/>
      <c r="GC61" s="6" t="n"/>
      <c r="GD61" s="6" t="n"/>
      <c r="GE61" s="6" t="n"/>
      <c r="GF61" s="6" t="n"/>
      <c r="GG61" s="6" t="n"/>
      <c r="GH61" s="6" t="n"/>
      <c r="GI61" s="6" t="n"/>
      <c r="GJ61" s="6" t="n"/>
      <c r="GK61" s="6" t="n"/>
      <c r="GL61" s="6" t="n"/>
      <c r="GM61" s="6" t="n"/>
      <c r="GN61" s="6" t="n"/>
    </row>
    <row r="62" ht="17.25" customHeight="1" s="11">
      <c r="C62" s="190" t="inlineStr">
        <is>
          <t>ОГРН 1175024014472</t>
        </is>
      </c>
      <c r="F62" s="38" t="n"/>
      <c r="G62" s="38" t="n"/>
      <c r="H62" s="236" t="n"/>
      <c r="I62" s="184" t="inlineStr">
        <is>
          <t>OGRN 1175024014472</t>
        </is>
      </c>
      <c r="O62" s="7" t="n"/>
      <c r="P62" s="7" t="n"/>
      <c r="Q62" s="7" t="n"/>
      <c r="R62" s="105" t="n"/>
      <c r="T62" s="7" t="n"/>
      <c r="U62" s="7" t="n"/>
      <c r="V62" s="7" t="n"/>
      <c r="W62" s="7" t="n"/>
      <c r="X62" s="7" t="n"/>
      <c r="Y62" s="7" t="n"/>
      <c r="Z62" s="200" t="n"/>
      <c r="AA62" s="7" t="n"/>
      <c r="AB62" s="7" t="n"/>
      <c r="AC62" s="7" t="n"/>
      <c r="AD62" s="7" t="n"/>
      <c r="AE62" s="7" t="n"/>
      <c r="AF62" s="99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  <c r="CQ62" s="7" t="n"/>
      <c r="CR62" s="7" t="n"/>
      <c r="CS62" s="7" t="n"/>
      <c r="CT62" s="7" t="n"/>
      <c r="CU62" s="7" t="n"/>
      <c r="CV62" s="7" t="n"/>
      <c r="CW62" s="7" t="n"/>
      <c r="CX62" s="7" t="n"/>
      <c r="CY62" s="7" t="n"/>
      <c r="CZ62" s="7" t="n"/>
      <c r="DA62" s="7" t="n"/>
      <c r="DB62" s="7" t="n"/>
      <c r="DC62" s="7" t="n"/>
      <c r="DD62" s="7" t="n"/>
      <c r="DE62" s="7" t="n"/>
      <c r="DF62" s="7" t="n"/>
      <c r="DG62" s="7" t="n"/>
      <c r="DH62" s="7" t="n"/>
      <c r="DI62" s="7" t="n"/>
      <c r="DJ62" s="7" t="n"/>
      <c r="DK62" s="7" t="n"/>
      <c r="DL62" s="7" t="n"/>
      <c r="DM62" s="7" t="n"/>
      <c r="DN62" s="7" t="n"/>
      <c r="DO62" s="7" t="n"/>
      <c r="DP62" s="7" t="n"/>
      <c r="DQ62" s="7" t="n"/>
      <c r="DR62" s="7" t="n"/>
      <c r="DS62" s="7" t="n"/>
      <c r="DT62" s="7" t="n"/>
      <c r="DU62" s="7" t="n"/>
      <c r="DV62" s="7" t="n"/>
      <c r="DW62" s="7" t="n"/>
      <c r="DX62" s="7" t="n"/>
      <c r="DY62" s="7" t="n"/>
      <c r="DZ62" s="7" t="n"/>
      <c r="EA62" s="7" t="n"/>
      <c r="EB62" s="7" t="n"/>
      <c r="EC62" s="7" t="n"/>
      <c r="ED62" s="7" t="n"/>
      <c r="EE62" s="6" t="n"/>
      <c r="EF62" s="6" t="n"/>
      <c r="EG62" s="6" t="n"/>
      <c r="EH62" s="6" t="n"/>
      <c r="EI62" s="6" t="n"/>
      <c r="EJ62" s="6" t="n"/>
      <c r="EK62" s="6" t="n"/>
      <c r="EL62" s="6" t="n"/>
      <c r="EM62" s="6" t="n"/>
      <c r="EN62" s="6" t="n"/>
      <c r="EO62" s="6" t="n"/>
      <c r="EP62" s="6" t="n"/>
      <c r="EQ62" s="6" t="n"/>
      <c r="ER62" s="6" t="n"/>
      <c r="ES62" s="6" t="n"/>
      <c r="ET62" s="6" t="n"/>
      <c r="EU62" s="6" t="n"/>
      <c r="EV62" s="6" t="n"/>
      <c r="EW62" s="6" t="n"/>
      <c r="EX62" s="6" t="n"/>
      <c r="EY62" s="6" t="n"/>
      <c r="EZ62" s="6" t="n"/>
      <c r="FA62" s="6" t="n"/>
      <c r="FB62" s="6" t="n"/>
      <c r="FC62" s="6" t="n"/>
      <c r="FD62" s="6" t="n"/>
      <c r="FE62" s="6" t="n"/>
      <c r="FF62" s="6" t="n"/>
      <c r="FG62" s="6" t="n"/>
      <c r="FH62" s="6" t="n"/>
      <c r="FI62" s="6" t="n"/>
      <c r="FJ62" s="6" t="n"/>
      <c r="FK62" s="6" t="n"/>
      <c r="FL62" s="6" t="n"/>
      <c r="FM62" s="6" t="n"/>
      <c r="FN62" s="6" t="n"/>
      <c r="FO62" s="6" t="n"/>
      <c r="FP62" s="6" t="n"/>
      <c r="FQ62" s="6" t="n"/>
      <c r="FR62" s="6" t="n"/>
      <c r="FS62" s="6" t="n"/>
      <c r="FT62" s="6" t="n"/>
      <c r="FU62" s="6" t="n"/>
      <c r="FV62" s="6" t="n"/>
      <c r="FW62" s="6" t="n"/>
      <c r="FX62" s="6" t="n"/>
      <c r="FY62" s="6" t="n"/>
      <c r="FZ62" s="6" t="n"/>
      <c r="GA62" s="6" t="n"/>
      <c r="GB62" s="6" t="n"/>
      <c r="GC62" s="6" t="n"/>
      <c r="GD62" s="6" t="n"/>
      <c r="GE62" s="6" t="n"/>
      <c r="GF62" s="6" t="n"/>
      <c r="GG62" s="6" t="n"/>
      <c r="GH62" s="6" t="n"/>
      <c r="GI62" s="6" t="n"/>
      <c r="GJ62" s="6" t="n"/>
      <c r="GK62" s="6" t="n"/>
      <c r="GL62" s="6" t="n"/>
      <c r="GM62" s="6" t="n"/>
      <c r="GN62" s="6" t="n"/>
    </row>
    <row r="63" ht="17.25" customHeight="1" s="11">
      <c r="C63" s="190" t="inlineStr">
        <is>
          <t>ИНН 5032281280</t>
        </is>
      </c>
      <c r="F63" s="38" t="n"/>
      <c r="G63" s="38" t="n"/>
      <c r="H63" s="236" t="n"/>
      <c r="I63" s="184" t="inlineStr">
        <is>
          <t>TIN 5032281280</t>
        </is>
      </c>
      <c r="AD63" s="7" t="n"/>
      <c r="AE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  <c r="CQ63" s="7" t="n"/>
      <c r="CR63" s="7" t="n"/>
      <c r="CS63" s="7" t="n"/>
      <c r="CT63" s="7" t="n"/>
      <c r="CU63" s="7" t="n"/>
      <c r="CV63" s="7" t="n"/>
      <c r="CW63" s="7" t="n"/>
      <c r="CX63" s="7" t="n"/>
      <c r="CY63" s="7" t="n"/>
      <c r="CZ63" s="7" t="n"/>
      <c r="DA63" s="7" t="n"/>
      <c r="DB63" s="7" t="n"/>
      <c r="DC63" s="7" t="n"/>
      <c r="DD63" s="7" t="n"/>
      <c r="DE63" s="7" t="n"/>
      <c r="DF63" s="7" t="n"/>
      <c r="DG63" s="7" t="n"/>
      <c r="DH63" s="7" t="n"/>
      <c r="DI63" s="7" t="n"/>
      <c r="DJ63" s="7" t="n"/>
      <c r="DK63" s="7" t="n"/>
      <c r="DL63" s="7" t="n"/>
      <c r="DM63" s="7" t="n"/>
      <c r="DN63" s="7" t="n"/>
      <c r="DO63" s="7" t="n"/>
      <c r="DP63" s="7" t="n"/>
      <c r="DQ63" s="7" t="n"/>
      <c r="DR63" s="7" t="n"/>
      <c r="DS63" s="7" t="n"/>
      <c r="DT63" s="7" t="n"/>
      <c r="DU63" s="7" t="n"/>
      <c r="DV63" s="7" t="n"/>
      <c r="DW63" s="7" t="n"/>
      <c r="DX63" s="7" t="n"/>
      <c r="DY63" s="7" t="n"/>
      <c r="DZ63" s="7" t="n"/>
      <c r="EA63" s="7" t="n"/>
      <c r="EB63" s="7" t="n"/>
      <c r="EC63" s="7" t="n"/>
      <c r="ED63" s="7" t="n"/>
      <c r="EE63" s="6" t="n"/>
      <c r="EF63" s="6" t="n"/>
      <c r="EG63" s="6" t="n"/>
      <c r="EH63" s="6" t="n"/>
      <c r="EI63" s="6" t="n"/>
      <c r="EJ63" s="6" t="n"/>
      <c r="EK63" s="6" t="n"/>
      <c r="EL63" s="6" t="n"/>
      <c r="EM63" s="6" t="n"/>
      <c r="EN63" s="6" t="n"/>
      <c r="EO63" s="6" t="n"/>
      <c r="EP63" s="6" t="n"/>
      <c r="EQ63" s="6" t="n"/>
      <c r="ER63" s="6" t="n"/>
      <c r="ES63" s="6" t="n"/>
      <c r="ET63" s="6" t="n"/>
      <c r="EU63" s="6" t="n"/>
      <c r="EV63" s="6" t="n"/>
      <c r="EW63" s="6" t="n"/>
      <c r="EX63" s="6" t="n"/>
      <c r="EY63" s="6" t="n"/>
      <c r="EZ63" s="6" t="n"/>
      <c r="FA63" s="6" t="n"/>
      <c r="FB63" s="6" t="n"/>
      <c r="FC63" s="6" t="n"/>
      <c r="FD63" s="6" t="n"/>
      <c r="FE63" s="6" t="n"/>
      <c r="FF63" s="6" t="n"/>
      <c r="FG63" s="6" t="n"/>
      <c r="FH63" s="6" t="n"/>
      <c r="FI63" s="6" t="n"/>
      <c r="FJ63" s="6" t="n"/>
      <c r="FK63" s="6" t="n"/>
      <c r="FL63" s="6" t="n"/>
      <c r="FM63" s="6" t="n"/>
      <c r="FN63" s="6" t="n"/>
      <c r="FO63" s="6" t="n"/>
      <c r="FP63" s="6" t="n"/>
      <c r="FQ63" s="6" t="n"/>
      <c r="FR63" s="6" t="n"/>
      <c r="FS63" s="6" t="n"/>
      <c r="FT63" s="6" t="n"/>
      <c r="FU63" s="6" t="n"/>
      <c r="FV63" s="6" t="n"/>
      <c r="FW63" s="6" t="n"/>
      <c r="FX63" s="6" t="n"/>
      <c r="FY63" s="6" t="n"/>
      <c r="FZ63" s="6" t="n"/>
      <c r="GA63" s="6" t="n"/>
      <c r="GB63" s="6" t="n"/>
      <c r="GC63" s="6" t="n"/>
      <c r="GD63" s="6" t="n"/>
      <c r="GE63" s="6" t="n"/>
      <c r="GF63" s="6" t="n"/>
      <c r="GG63" s="6" t="n"/>
      <c r="GH63" s="6" t="n"/>
      <c r="GI63" s="6" t="n"/>
      <c r="GJ63" s="6" t="n"/>
      <c r="GK63" s="6" t="n"/>
      <c r="GL63" s="6" t="n"/>
      <c r="GM63" s="6" t="n"/>
      <c r="GN63" s="6" t="n"/>
    </row>
    <row r="64" ht="17.25" customHeight="1" s="11">
      <c r="C64" s="190" t="inlineStr">
        <is>
          <t>КПП     502401001</t>
        </is>
      </c>
      <c r="F64" s="38" t="n"/>
      <c r="G64" s="38" t="n"/>
      <c r="H64" s="236" t="n"/>
      <c r="I64" s="184" t="inlineStr">
        <is>
          <t>KPP 502401001</t>
        </is>
      </c>
      <c r="AD64" s="7" t="n"/>
      <c r="AE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  <c r="CQ64" s="7" t="n"/>
      <c r="CR64" s="7" t="n"/>
      <c r="CS64" s="7" t="n"/>
      <c r="CT64" s="7" t="n"/>
      <c r="CU64" s="7" t="n"/>
      <c r="CV64" s="7" t="n"/>
      <c r="CW64" s="7" t="n"/>
      <c r="CX64" s="7" t="n"/>
      <c r="CY64" s="7" t="n"/>
      <c r="CZ64" s="7" t="n"/>
      <c r="DA64" s="7" t="n"/>
      <c r="DB64" s="7" t="n"/>
      <c r="DC64" s="7" t="n"/>
      <c r="DD64" s="7" t="n"/>
      <c r="DE64" s="7" t="n"/>
      <c r="DF64" s="7" t="n"/>
      <c r="DG64" s="7" t="n"/>
      <c r="DH64" s="7" t="n"/>
      <c r="DI64" s="7" t="n"/>
      <c r="DJ64" s="7" t="n"/>
      <c r="DK64" s="7" t="n"/>
      <c r="DL64" s="7" t="n"/>
      <c r="DM64" s="7" t="n"/>
      <c r="DN64" s="7" t="n"/>
      <c r="DO64" s="7" t="n"/>
      <c r="DP64" s="7" t="n"/>
      <c r="DQ64" s="7" t="n"/>
      <c r="DR64" s="7" t="n"/>
      <c r="DS64" s="7" t="n"/>
      <c r="DT64" s="7" t="n"/>
      <c r="DU64" s="7" t="n"/>
      <c r="DV64" s="7" t="n"/>
      <c r="DW64" s="7" t="n"/>
      <c r="DX64" s="7" t="n"/>
      <c r="DY64" s="7" t="n"/>
      <c r="DZ64" s="7" t="n"/>
      <c r="EA64" s="7" t="n"/>
      <c r="EB64" s="7" t="n"/>
      <c r="EC64" s="7" t="n"/>
      <c r="ED64" s="7" t="n"/>
      <c r="EE64" s="6" t="n"/>
      <c r="EF64" s="6" t="n"/>
      <c r="EG64" s="6" t="n"/>
      <c r="EH64" s="6" t="n"/>
      <c r="EI64" s="6" t="n"/>
      <c r="EJ64" s="6" t="n"/>
      <c r="EK64" s="6" t="n"/>
      <c r="EL64" s="6" t="n"/>
      <c r="EM64" s="6" t="n"/>
      <c r="EN64" s="6" t="n"/>
      <c r="EO64" s="6" t="n"/>
      <c r="EP64" s="6" t="n"/>
      <c r="EQ64" s="6" t="n"/>
      <c r="ER64" s="6" t="n"/>
      <c r="ES64" s="6" t="n"/>
      <c r="ET64" s="6" t="n"/>
      <c r="EU64" s="6" t="n"/>
      <c r="EV64" s="6" t="n"/>
      <c r="EW64" s="6" t="n"/>
      <c r="EX64" s="6" t="n"/>
      <c r="EY64" s="6" t="n"/>
      <c r="EZ64" s="6" t="n"/>
      <c r="FA64" s="6" t="n"/>
      <c r="FB64" s="6" t="n"/>
      <c r="FC64" s="6" t="n"/>
      <c r="FD64" s="6" t="n"/>
      <c r="FE64" s="6" t="n"/>
      <c r="FF64" s="6" t="n"/>
      <c r="FG64" s="6" t="n"/>
      <c r="FH64" s="6" t="n"/>
      <c r="FI64" s="6" t="n"/>
      <c r="FJ64" s="6" t="n"/>
      <c r="FK64" s="6" t="n"/>
      <c r="FL64" s="6" t="n"/>
      <c r="FM64" s="6" t="n"/>
      <c r="FN64" s="6" t="n"/>
      <c r="FO64" s="6" t="n"/>
      <c r="FP64" s="6" t="n"/>
      <c r="FQ64" s="6" t="n"/>
      <c r="FR64" s="6" t="n"/>
      <c r="FS64" s="6" t="n"/>
      <c r="FT64" s="6" t="n"/>
      <c r="FU64" s="6" t="n"/>
      <c r="FV64" s="6" t="n"/>
      <c r="FW64" s="6" t="n"/>
      <c r="FX64" s="6" t="n"/>
      <c r="FY64" s="6" t="n"/>
      <c r="FZ64" s="6" t="n"/>
      <c r="GA64" s="6" t="n"/>
      <c r="GB64" s="6" t="n"/>
      <c r="GC64" s="6" t="n"/>
      <c r="GD64" s="6" t="n"/>
      <c r="GE64" s="6" t="n"/>
      <c r="GF64" s="6" t="n"/>
      <c r="GG64" s="6" t="n"/>
      <c r="GH64" s="6" t="n"/>
      <c r="GI64" s="6" t="n"/>
      <c r="GJ64" s="6" t="n"/>
      <c r="GK64" s="6" t="n"/>
      <c r="GL64" s="6" t="n"/>
      <c r="GM64" s="6" t="n"/>
      <c r="GN64" s="6" t="n"/>
    </row>
    <row r="65" ht="13.5" customHeight="1" s="11">
      <c r="C65" s="189" t="inlineStr">
        <is>
          <t>Банковские реквизиты:</t>
        </is>
      </c>
      <c r="F65" s="38" t="n"/>
      <c r="G65" s="38" t="n"/>
      <c r="H65" s="236" t="n"/>
      <c r="I65" s="188" t="inlineStr">
        <is>
          <t>Bank details:</t>
        </is>
      </c>
      <c r="AD65" s="7" t="n"/>
      <c r="AE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  <c r="CQ65" s="7" t="n"/>
      <c r="CR65" s="7" t="n"/>
      <c r="CS65" s="7" t="n"/>
      <c r="CT65" s="7" t="n"/>
      <c r="CU65" s="7" t="n"/>
      <c r="CV65" s="7" t="n"/>
      <c r="CW65" s="7" t="n"/>
      <c r="CX65" s="7" t="n"/>
      <c r="CY65" s="7" t="n"/>
      <c r="CZ65" s="7" t="n"/>
      <c r="DA65" s="7" t="n"/>
      <c r="DB65" s="7" t="n"/>
      <c r="DC65" s="7" t="n"/>
      <c r="DD65" s="7" t="n"/>
      <c r="DE65" s="7" t="n"/>
      <c r="DF65" s="7" t="n"/>
      <c r="DG65" s="7" t="n"/>
      <c r="DH65" s="7" t="n"/>
      <c r="DI65" s="7" t="n"/>
      <c r="DJ65" s="7" t="n"/>
      <c r="DK65" s="7" t="n"/>
      <c r="DL65" s="7" t="n"/>
      <c r="DM65" s="7" t="n"/>
      <c r="DN65" s="7" t="n"/>
      <c r="DO65" s="7" t="n"/>
      <c r="DP65" s="7" t="n"/>
      <c r="DQ65" s="7" t="n"/>
      <c r="DR65" s="7" t="n"/>
      <c r="DS65" s="7" t="n"/>
      <c r="DT65" s="7" t="n"/>
      <c r="DU65" s="7" t="n"/>
      <c r="DV65" s="7" t="n"/>
      <c r="DW65" s="7" t="n"/>
      <c r="DX65" s="7" t="n"/>
      <c r="DY65" s="7" t="n"/>
      <c r="DZ65" s="7" t="n"/>
      <c r="EA65" s="7" t="n"/>
      <c r="EB65" s="7" t="n"/>
      <c r="EC65" s="7" t="n"/>
      <c r="ED65" s="7" t="n"/>
      <c r="EE65" s="6" t="n"/>
      <c r="EF65" s="6" t="n"/>
      <c r="EG65" s="6" t="n"/>
      <c r="EH65" s="6" t="n"/>
      <c r="EI65" s="6" t="n"/>
      <c r="EJ65" s="6" t="n"/>
      <c r="EK65" s="6" t="n"/>
      <c r="EL65" s="6" t="n"/>
      <c r="EM65" s="6" t="n"/>
      <c r="EN65" s="6" t="n"/>
      <c r="EO65" s="6" t="n"/>
      <c r="EP65" s="6" t="n"/>
      <c r="EQ65" s="6" t="n"/>
      <c r="ER65" s="6" t="n"/>
      <c r="ES65" s="6" t="n"/>
      <c r="ET65" s="6" t="n"/>
      <c r="EU65" s="6" t="n"/>
      <c r="EV65" s="6" t="n"/>
      <c r="EW65" s="6" t="n"/>
      <c r="EX65" s="6" t="n"/>
      <c r="EY65" s="6" t="n"/>
      <c r="EZ65" s="6" t="n"/>
      <c r="FA65" s="6" t="n"/>
      <c r="FB65" s="6" t="n"/>
      <c r="FC65" s="6" t="n"/>
      <c r="FD65" s="6" t="n"/>
      <c r="FE65" s="6" t="n"/>
      <c r="FF65" s="6" t="n"/>
      <c r="FG65" s="6" t="n"/>
      <c r="FH65" s="6" t="n"/>
      <c r="FI65" s="6" t="n"/>
      <c r="FJ65" s="6" t="n"/>
      <c r="FK65" s="6" t="n"/>
      <c r="FL65" s="6" t="n"/>
      <c r="FM65" s="6" t="n"/>
      <c r="FN65" s="6" t="n"/>
      <c r="FO65" s="6" t="n"/>
      <c r="FP65" s="6" t="n"/>
      <c r="FQ65" s="6" t="n"/>
      <c r="FR65" s="6" t="n"/>
      <c r="FS65" s="6" t="n"/>
      <c r="FT65" s="6" t="n"/>
      <c r="FU65" s="6" t="n"/>
      <c r="FV65" s="6" t="n"/>
      <c r="FW65" s="6" t="n"/>
      <c r="FX65" s="6" t="n"/>
      <c r="FY65" s="6" t="n"/>
      <c r="FZ65" s="6" t="n"/>
      <c r="GA65" s="6" t="n"/>
      <c r="GB65" s="6" t="n"/>
      <c r="GC65" s="6" t="n"/>
      <c r="GD65" s="6" t="n"/>
      <c r="GE65" s="6" t="n"/>
      <c r="GF65" s="6" t="n"/>
      <c r="GG65" s="6" t="n"/>
      <c r="GH65" s="6" t="n"/>
      <c r="GI65" s="6" t="n"/>
      <c r="GJ65" s="6" t="n"/>
      <c r="GK65" s="6" t="n"/>
      <c r="GL65" s="6" t="n"/>
      <c r="GM65" s="6" t="n"/>
      <c r="GN65" s="6" t="n"/>
    </row>
    <row r="66" ht="17.25" customHeight="1" s="11">
      <c r="C66" s="184" t="inlineStr">
        <is>
          <t>Название банка: АО «АЛЬФА-БАНК», г. Москва</t>
        </is>
      </c>
      <c r="F66" s="42" t="n"/>
      <c r="G66" s="42" t="n"/>
      <c r="H66" s="236" t="n"/>
      <c r="I66" s="184" t="inlineStr">
        <is>
          <t>Bank name: JSC “ALFA-BANK“, Moscow</t>
        </is>
      </c>
      <c r="AD66" s="7" t="n"/>
      <c r="AE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/>
      <c r="CO66" s="7" t="n"/>
      <c r="CP66" s="7" t="n"/>
      <c r="CQ66" s="7" t="n"/>
      <c r="CR66" s="7" t="n"/>
      <c r="CS66" s="7" t="n"/>
      <c r="CT66" s="7" t="n"/>
      <c r="CU66" s="7" t="n"/>
      <c r="CV66" s="7" t="n"/>
      <c r="CW66" s="7" t="n"/>
      <c r="CX66" s="7" t="n"/>
      <c r="CY66" s="7" t="n"/>
      <c r="CZ66" s="7" t="n"/>
      <c r="DA66" s="7" t="n"/>
      <c r="DB66" s="7" t="n"/>
      <c r="DC66" s="7" t="n"/>
      <c r="DD66" s="7" t="n"/>
      <c r="DE66" s="7" t="n"/>
      <c r="DF66" s="7" t="n"/>
      <c r="DG66" s="7" t="n"/>
      <c r="DH66" s="7" t="n"/>
      <c r="DI66" s="7" t="n"/>
      <c r="DJ66" s="7" t="n"/>
      <c r="DK66" s="7" t="n"/>
      <c r="DL66" s="7" t="n"/>
      <c r="DM66" s="7" t="n"/>
      <c r="DN66" s="7" t="n"/>
      <c r="DO66" s="7" t="n"/>
      <c r="DP66" s="7" t="n"/>
      <c r="DQ66" s="7" t="n"/>
      <c r="DR66" s="7" t="n"/>
      <c r="DS66" s="7" t="n"/>
      <c r="DT66" s="7" t="n"/>
      <c r="DU66" s="7" t="n"/>
      <c r="DV66" s="7" t="n"/>
      <c r="DW66" s="7" t="n"/>
      <c r="DX66" s="7" t="n"/>
      <c r="DY66" s="7" t="n"/>
      <c r="DZ66" s="7" t="n"/>
      <c r="EA66" s="7" t="n"/>
      <c r="EB66" s="7" t="n"/>
      <c r="EC66" s="7" t="n"/>
      <c r="ED66" s="7" t="n"/>
      <c r="EE66" s="6" t="n"/>
      <c r="EF66" s="6" t="n"/>
      <c r="EG66" s="6" t="n"/>
      <c r="EH66" s="6" t="n"/>
      <c r="EI66" s="6" t="n"/>
      <c r="EJ66" s="6" t="n"/>
      <c r="EK66" s="6" t="n"/>
      <c r="EL66" s="6" t="n"/>
      <c r="EM66" s="6" t="n"/>
      <c r="EN66" s="6" t="n"/>
      <c r="EO66" s="6" t="n"/>
      <c r="EP66" s="6" t="n"/>
      <c r="EQ66" s="6" t="n"/>
      <c r="ER66" s="6" t="n"/>
      <c r="ES66" s="6" t="n"/>
      <c r="ET66" s="6" t="n"/>
      <c r="EU66" s="6" t="n"/>
      <c r="EV66" s="6" t="n"/>
      <c r="EW66" s="6" t="n"/>
      <c r="EX66" s="6" t="n"/>
      <c r="EY66" s="6" t="n"/>
      <c r="EZ66" s="6" t="n"/>
      <c r="FA66" s="6" t="n"/>
      <c r="FB66" s="6" t="n"/>
      <c r="FC66" s="6" t="n"/>
      <c r="FD66" s="6" t="n"/>
      <c r="FE66" s="6" t="n"/>
      <c r="FF66" s="6" t="n"/>
      <c r="FG66" s="6" t="n"/>
      <c r="FH66" s="6" t="n"/>
      <c r="FI66" s="6" t="n"/>
      <c r="FJ66" s="6" t="n"/>
      <c r="FK66" s="6" t="n"/>
      <c r="FL66" s="6" t="n"/>
      <c r="FM66" s="6" t="n"/>
      <c r="FN66" s="6" t="n"/>
      <c r="FO66" s="6" t="n"/>
      <c r="FP66" s="6" t="n"/>
      <c r="FQ66" s="6" t="n"/>
      <c r="FR66" s="6" t="n"/>
      <c r="FS66" s="6" t="n"/>
      <c r="FT66" s="6" t="n"/>
      <c r="FU66" s="6" t="n"/>
      <c r="FV66" s="6" t="n"/>
      <c r="FW66" s="6" t="n"/>
      <c r="FX66" s="6" t="n"/>
      <c r="FY66" s="6" t="n"/>
      <c r="FZ66" s="6" t="n"/>
      <c r="GA66" s="6" t="n"/>
      <c r="GB66" s="6" t="n"/>
      <c r="GC66" s="6" t="n"/>
      <c r="GD66" s="6" t="n"/>
      <c r="GE66" s="6" t="n"/>
      <c r="GF66" s="6" t="n"/>
      <c r="GG66" s="6" t="n"/>
      <c r="GH66" s="6" t="n"/>
      <c r="GI66" s="6" t="n"/>
      <c r="GJ66" s="6" t="n"/>
      <c r="GK66" s="6" t="n"/>
      <c r="GL66" s="6" t="n"/>
      <c r="GM66" s="6" t="n"/>
      <c r="GN66" s="6" t="n"/>
    </row>
    <row r="67" ht="17.25" customHeight="1" s="11">
      <c r="C67" s="190" t="inlineStr">
        <is>
          <t>БИК 044525593</t>
        </is>
      </c>
      <c r="F67" s="38" t="n"/>
      <c r="G67" s="38" t="n"/>
      <c r="H67" s="236" t="n"/>
      <c r="I67" s="184" t="inlineStr">
        <is>
          <t>BIC 044525593</t>
        </is>
      </c>
      <c r="AD67" s="7" t="n"/>
      <c r="AE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/>
      <c r="CP67" s="7" t="n"/>
      <c r="CQ67" s="7" t="n"/>
      <c r="CR67" s="7" t="n"/>
      <c r="CS67" s="7" t="n"/>
      <c r="CT67" s="7" t="n"/>
      <c r="CU67" s="7" t="n"/>
      <c r="CV67" s="7" t="n"/>
      <c r="CW67" s="7" t="n"/>
      <c r="CX67" s="7" t="n"/>
      <c r="CY67" s="7" t="n"/>
      <c r="CZ67" s="7" t="n"/>
      <c r="DA67" s="7" t="n"/>
      <c r="DB67" s="7" t="n"/>
      <c r="DC67" s="7" t="n"/>
      <c r="DD67" s="7" t="n"/>
      <c r="DE67" s="7" t="n"/>
      <c r="DF67" s="7" t="n"/>
      <c r="DG67" s="7" t="n"/>
      <c r="DH67" s="7" t="n"/>
      <c r="DI67" s="7" t="n"/>
      <c r="DJ67" s="7" t="n"/>
      <c r="DK67" s="7" t="n"/>
      <c r="DL67" s="7" t="n"/>
      <c r="DM67" s="7" t="n"/>
      <c r="DN67" s="7" t="n"/>
      <c r="DO67" s="7" t="n"/>
      <c r="DP67" s="7" t="n"/>
      <c r="DQ67" s="7" t="n"/>
      <c r="DR67" s="7" t="n"/>
      <c r="DS67" s="7" t="n"/>
      <c r="DT67" s="7" t="n"/>
      <c r="DU67" s="7" t="n"/>
      <c r="DV67" s="7" t="n"/>
      <c r="DW67" s="7" t="n"/>
      <c r="DX67" s="7" t="n"/>
      <c r="DY67" s="7" t="n"/>
      <c r="DZ67" s="7" t="n"/>
      <c r="EA67" s="7" t="n"/>
      <c r="EB67" s="7" t="n"/>
      <c r="EC67" s="7" t="n"/>
      <c r="ED67" s="7" t="n"/>
      <c r="EE67" s="6" t="n"/>
      <c r="EF67" s="6" t="n"/>
      <c r="EG67" s="6" t="n"/>
      <c r="EH67" s="6" t="n"/>
      <c r="EI67" s="6" t="n"/>
      <c r="EJ67" s="6" t="n"/>
      <c r="EK67" s="6" t="n"/>
      <c r="EL67" s="6" t="n"/>
      <c r="EM67" s="6" t="n"/>
      <c r="EN67" s="6" t="n"/>
      <c r="EO67" s="6" t="n"/>
      <c r="EP67" s="6" t="n"/>
      <c r="EQ67" s="6" t="n"/>
      <c r="ER67" s="6" t="n"/>
      <c r="ES67" s="6" t="n"/>
      <c r="ET67" s="6" t="n"/>
      <c r="EU67" s="6" t="n"/>
      <c r="EV67" s="6" t="n"/>
      <c r="EW67" s="6" t="n"/>
      <c r="EX67" s="6" t="n"/>
      <c r="EY67" s="6" t="n"/>
      <c r="EZ67" s="6" t="n"/>
      <c r="FA67" s="6" t="n"/>
      <c r="FB67" s="6" t="n"/>
      <c r="FC67" s="6" t="n"/>
      <c r="FD67" s="6" t="n"/>
      <c r="FE67" s="6" t="n"/>
      <c r="FF67" s="6" t="n"/>
      <c r="FG67" s="6" t="n"/>
      <c r="FH67" s="6" t="n"/>
      <c r="FI67" s="6" t="n"/>
      <c r="FJ67" s="6" t="n"/>
      <c r="FK67" s="6" t="n"/>
      <c r="FL67" s="6" t="n"/>
      <c r="FM67" s="6" t="n"/>
      <c r="FN67" s="6" t="n"/>
      <c r="FO67" s="6" t="n"/>
      <c r="FP67" s="6" t="n"/>
      <c r="FQ67" s="6" t="n"/>
      <c r="FR67" s="6" t="n"/>
      <c r="FS67" s="6" t="n"/>
      <c r="FT67" s="6" t="n"/>
      <c r="FU67" s="6" t="n"/>
      <c r="FV67" s="6" t="n"/>
      <c r="FW67" s="6" t="n"/>
      <c r="FX67" s="6" t="n"/>
      <c r="FY67" s="6" t="n"/>
      <c r="FZ67" s="6" t="n"/>
      <c r="GA67" s="6" t="n"/>
      <c r="GB67" s="6" t="n"/>
      <c r="GC67" s="6" t="n"/>
      <c r="GD67" s="6" t="n"/>
      <c r="GE67" s="6" t="n"/>
      <c r="GF67" s="6" t="n"/>
      <c r="GG67" s="6" t="n"/>
      <c r="GH67" s="6" t="n"/>
      <c r="GI67" s="6" t="n"/>
      <c r="GJ67" s="6" t="n"/>
      <c r="GK67" s="6" t="n"/>
      <c r="GL67" s="6" t="n"/>
      <c r="GM67" s="6" t="n"/>
      <c r="GN67" s="6" t="n"/>
    </row>
    <row r="68" ht="17.25" customHeight="1" s="11">
      <c r="C68" s="184" t="inlineStr">
        <is>
          <t>к/с 30101810200000000593</t>
        </is>
      </c>
      <c r="F68" s="38" t="n"/>
      <c r="G68" s="38" t="n"/>
      <c r="H68" s="236" t="n"/>
      <c r="I68" s="184" t="inlineStr">
        <is>
          <t xml:space="preserve">Corr. Acc. 30101810200000000593 </t>
        </is>
      </c>
      <c r="AD68" s="7" t="n"/>
      <c r="AE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  <c r="CQ68" s="7" t="n"/>
      <c r="CR68" s="7" t="n"/>
      <c r="CS68" s="7" t="n"/>
      <c r="CT68" s="7" t="n"/>
      <c r="CU68" s="7" t="n"/>
      <c r="CV68" s="7" t="n"/>
      <c r="CW68" s="7" t="n"/>
      <c r="CX68" s="7" t="n"/>
      <c r="CY68" s="7" t="n"/>
      <c r="CZ68" s="7" t="n"/>
      <c r="DA68" s="7" t="n"/>
      <c r="DB68" s="7" t="n"/>
      <c r="DC68" s="7" t="n"/>
      <c r="DD68" s="7" t="n"/>
      <c r="DE68" s="7" t="n"/>
      <c r="DF68" s="7" t="n"/>
      <c r="DG68" s="7" t="n"/>
      <c r="DH68" s="7" t="n"/>
      <c r="DI68" s="7" t="n"/>
      <c r="DJ68" s="7" t="n"/>
      <c r="DK68" s="7" t="n"/>
      <c r="DL68" s="7" t="n"/>
      <c r="DM68" s="7" t="n"/>
      <c r="DN68" s="7" t="n"/>
      <c r="DO68" s="7" t="n"/>
      <c r="DP68" s="7" t="n"/>
      <c r="DQ68" s="7" t="n"/>
      <c r="DR68" s="7" t="n"/>
      <c r="DS68" s="7" t="n"/>
      <c r="DT68" s="7" t="n"/>
      <c r="DU68" s="7" t="n"/>
      <c r="DV68" s="7" t="n"/>
      <c r="DW68" s="7" t="n"/>
      <c r="DX68" s="7" t="n"/>
      <c r="DY68" s="7" t="n"/>
      <c r="DZ68" s="7" t="n"/>
      <c r="EA68" s="7" t="n"/>
      <c r="EB68" s="7" t="n"/>
      <c r="EC68" s="7" t="n"/>
      <c r="ED68" s="7" t="n"/>
      <c r="EE68" s="6" t="n"/>
      <c r="EF68" s="6" t="n"/>
      <c r="EG68" s="6" t="n"/>
      <c r="EH68" s="6" t="n"/>
      <c r="EI68" s="6" t="n"/>
      <c r="EJ68" s="6" t="n"/>
      <c r="EK68" s="6" t="n"/>
      <c r="EL68" s="6" t="n"/>
      <c r="EM68" s="6" t="n"/>
      <c r="EN68" s="6" t="n"/>
      <c r="EO68" s="6" t="n"/>
      <c r="EP68" s="6" t="n"/>
      <c r="EQ68" s="6" t="n"/>
      <c r="ER68" s="6" t="n"/>
      <c r="ES68" s="6" t="n"/>
      <c r="ET68" s="6" t="n"/>
      <c r="EU68" s="6" t="n"/>
      <c r="EV68" s="6" t="n"/>
      <c r="EW68" s="6" t="n"/>
      <c r="EX68" s="6" t="n"/>
      <c r="EY68" s="6" t="n"/>
      <c r="EZ68" s="6" t="n"/>
      <c r="FA68" s="6" t="n"/>
      <c r="FB68" s="6" t="n"/>
      <c r="FC68" s="6" t="n"/>
      <c r="FD68" s="6" t="n"/>
      <c r="FE68" s="6" t="n"/>
      <c r="FF68" s="6" t="n"/>
      <c r="FG68" s="6" t="n"/>
      <c r="FH68" s="6" t="n"/>
      <c r="FI68" s="6" t="n"/>
      <c r="FJ68" s="6" t="n"/>
      <c r="FK68" s="6" t="n"/>
      <c r="FL68" s="6" t="n"/>
      <c r="FM68" s="6" t="n"/>
      <c r="FN68" s="6" t="n"/>
      <c r="FO68" s="6" t="n"/>
      <c r="FP68" s="6" t="n"/>
      <c r="FQ68" s="6" t="n"/>
      <c r="FR68" s="6" t="n"/>
      <c r="FS68" s="6" t="n"/>
      <c r="FT68" s="6" t="n"/>
      <c r="FU68" s="6" t="n"/>
      <c r="FV68" s="6" t="n"/>
      <c r="FW68" s="6" t="n"/>
      <c r="FX68" s="6" t="n"/>
      <c r="FY68" s="6" t="n"/>
      <c r="FZ68" s="6" t="n"/>
      <c r="GA68" s="6" t="n"/>
      <c r="GB68" s="6" t="n"/>
      <c r="GC68" s="6" t="n"/>
      <c r="GD68" s="6" t="n"/>
      <c r="GE68" s="6" t="n"/>
      <c r="GF68" s="6" t="n"/>
      <c r="GG68" s="6" t="n"/>
      <c r="GH68" s="6" t="n"/>
      <c r="GI68" s="6" t="n"/>
      <c r="GJ68" s="6" t="n"/>
      <c r="GK68" s="6" t="n"/>
      <c r="GL68" s="6" t="n"/>
      <c r="GM68" s="6" t="n"/>
      <c r="GN68" s="6" t="n"/>
    </row>
    <row r="69" ht="15.75" customHeight="1" s="11">
      <c r="C69" s="184" t="inlineStr">
        <is>
          <t>р/с 40702810502200008253</t>
        </is>
      </c>
      <c r="F69" s="38" t="n"/>
      <c r="G69" s="38" t="n"/>
      <c r="H69" s="236" t="n"/>
      <c r="I69" s="184" t="inlineStr">
        <is>
          <t>Current account  40702810502200008253</t>
        </is>
      </c>
      <c r="AD69" s="7" t="n"/>
      <c r="AE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/>
      <c r="CQ69" s="7" t="n"/>
      <c r="CR69" s="7" t="n"/>
      <c r="CS69" s="7" t="n"/>
      <c r="CT69" s="7" t="n"/>
      <c r="CU69" s="7" t="n"/>
      <c r="CV69" s="7" t="n"/>
      <c r="CW69" s="7" t="n"/>
      <c r="CX69" s="7" t="n"/>
      <c r="CY69" s="7" t="n"/>
      <c r="CZ69" s="7" t="n"/>
      <c r="DA69" s="7" t="n"/>
      <c r="DB69" s="7" t="n"/>
      <c r="DC69" s="7" t="n"/>
      <c r="DD69" s="7" t="n"/>
      <c r="DE69" s="7" t="n"/>
      <c r="DF69" s="7" t="n"/>
      <c r="DG69" s="7" t="n"/>
      <c r="DH69" s="7" t="n"/>
      <c r="DI69" s="7" t="n"/>
      <c r="DJ69" s="7" t="n"/>
      <c r="DK69" s="7" t="n"/>
      <c r="DL69" s="7" t="n"/>
      <c r="DM69" s="7" t="n"/>
      <c r="DN69" s="7" t="n"/>
      <c r="DO69" s="7" t="n"/>
      <c r="DP69" s="7" t="n"/>
      <c r="DQ69" s="7" t="n"/>
      <c r="DR69" s="7" t="n"/>
      <c r="DS69" s="7" t="n"/>
      <c r="DT69" s="7" t="n"/>
      <c r="DU69" s="7" t="n"/>
      <c r="DV69" s="7" t="n"/>
      <c r="DW69" s="7" t="n"/>
      <c r="DX69" s="7" t="n"/>
      <c r="DY69" s="7" t="n"/>
      <c r="DZ69" s="7" t="n"/>
      <c r="EA69" s="7" t="n"/>
      <c r="EB69" s="7" t="n"/>
      <c r="EC69" s="7" t="n"/>
      <c r="ED69" s="7" t="n"/>
      <c r="EE69" s="6" t="n"/>
      <c r="EF69" s="6" t="n"/>
      <c r="EG69" s="6" t="n"/>
      <c r="EH69" s="6" t="n"/>
      <c r="EI69" s="6" t="n"/>
      <c r="EJ69" s="6" t="n"/>
      <c r="EK69" s="6" t="n"/>
      <c r="EL69" s="6" t="n"/>
      <c r="EM69" s="6" t="n"/>
      <c r="EN69" s="6" t="n"/>
      <c r="EO69" s="6" t="n"/>
      <c r="EP69" s="6" t="n"/>
      <c r="EQ69" s="6" t="n"/>
      <c r="ER69" s="6" t="n"/>
      <c r="ES69" s="6" t="n"/>
      <c r="ET69" s="6" t="n"/>
      <c r="EU69" s="6" t="n"/>
      <c r="EV69" s="6" t="n"/>
      <c r="EW69" s="6" t="n"/>
      <c r="EX69" s="6" t="n"/>
      <c r="EY69" s="6" t="n"/>
      <c r="EZ69" s="6" t="n"/>
      <c r="FA69" s="6" t="n"/>
      <c r="FB69" s="6" t="n"/>
      <c r="FC69" s="6" t="n"/>
      <c r="FD69" s="6" t="n"/>
      <c r="FE69" s="6" t="n"/>
      <c r="FF69" s="6" t="n"/>
      <c r="FG69" s="6" t="n"/>
      <c r="FH69" s="6" t="n"/>
      <c r="FI69" s="6" t="n"/>
      <c r="FJ69" s="6" t="n"/>
      <c r="FK69" s="6" t="n"/>
      <c r="FL69" s="6" t="n"/>
      <c r="FM69" s="6" t="n"/>
      <c r="FN69" s="6" t="n"/>
      <c r="FO69" s="6" t="n"/>
      <c r="FP69" s="6" t="n"/>
      <c r="FQ69" s="6" t="n"/>
      <c r="FR69" s="6" t="n"/>
      <c r="FS69" s="6" t="n"/>
      <c r="FT69" s="6" t="n"/>
      <c r="FU69" s="6" t="n"/>
      <c r="FV69" s="6" t="n"/>
      <c r="FW69" s="6" t="n"/>
      <c r="FX69" s="6" t="n"/>
      <c r="FY69" s="6" t="n"/>
      <c r="FZ69" s="6" t="n"/>
      <c r="GA69" s="6" t="n"/>
      <c r="GB69" s="6" t="n"/>
      <c r="GC69" s="6" t="n"/>
      <c r="GD69" s="6" t="n"/>
      <c r="GE69" s="6" t="n"/>
      <c r="GF69" s="6" t="n"/>
      <c r="GG69" s="6" t="n"/>
      <c r="GH69" s="6" t="n"/>
      <c r="GI69" s="6" t="n"/>
      <c r="GJ69" s="6" t="n"/>
      <c r="GK69" s="6" t="n"/>
      <c r="GL69" s="6" t="n"/>
      <c r="GM69" s="6" t="n"/>
      <c r="GN69" s="6" t="n"/>
    </row>
    <row r="70" ht="17.25" customHeight="1" s="11">
      <c r="C70" s="184" t="inlineStr">
        <is>
          <t>Beneficiary's name: OOO 'SM REGIONTEKSTIL'</t>
        </is>
      </c>
      <c r="F70" s="42" t="n"/>
      <c r="G70" s="42" t="n"/>
      <c r="H70" s="236" t="n"/>
      <c r="I70" s="184" t="inlineStr">
        <is>
          <t>Beneficiary's name: OOO 'SM REGIONTEKSTIL'</t>
        </is>
      </c>
      <c r="AD70" s="7" t="n"/>
      <c r="AE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  <c r="CQ70" s="7" t="n"/>
      <c r="CR70" s="7" t="n"/>
      <c r="CS70" s="7" t="n"/>
      <c r="CT70" s="7" t="n"/>
      <c r="CU70" s="7" t="n"/>
      <c r="CV70" s="7" t="n"/>
      <c r="CW70" s="7" t="n"/>
      <c r="CX70" s="7" t="n"/>
      <c r="CY70" s="7" t="n"/>
      <c r="CZ70" s="7" t="n"/>
      <c r="DA70" s="7" t="n"/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7" t="n"/>
      <c r="DP70" s="7" t="n"/>
      <c r="DQ70" s="7" t="n"/>
      <c r="DR70" s="7" t="n"/>
      <c r="DS70" s="7" t="n"/>
      <c r="DT70" s="7" t="n"/>
      <c r="DU70" s="7" t="n"/>
      <c r="DV70" s="7" t="n"/>
      <c r="DW70" s="7" t="n"/>
      <c r="DX70" s="7" t="n"/>
      <c r="DY70" s="7" t="n"/>
      <c r="DZ70" s="7" t="n"/>
      <c r="EA70" s="7" t="n"/>
      <c r="EB70" s="7" t="n"/>
      <c r="EC70" s="7" t="n"/>
      <c r="ED70" s="7" t="n"/>
      <c r="EE70" s="6" t="n"/>
      <c r="EF70" s="6" t="n"/>
      <c r="EG70" s="6" t="n"/>
      <c r="EH70" s="6" t="n"/>
      <c r="EI70" s="6" t="n"/>
      <c r="EJ70" s="6" t="n"/>
      <c r="EK70" s="6" t="n"/>
      <c r="EL70" s="6" t="n"/>
      <c r="EM70" s="6" t="n"/>
      <c r="EN70" s="6" t="n"/>
      <c r="EO70" s="6" t="n"/>
      <c r="EP70" s="6" t="n"/>
      <c r="EQ70" s="6" t="n"/>
      <c r="ER70" s="6" t="n"/>
      <c r="ES70" s="6" t="n"/>
      <c r="ET70" s="6" t="n"/>
      <c r="EU70" s="6" t="n"/>
      <c r="EV70" s="6" t="n"/>
      <c r="EW70" s="6" t="n"/>
      <c r="EX70" s="6" t="n"/>
      <c r="EY70" s="6" t="n"/>
      <c r="EZ70" s="6" t="n"/>
      <c r="FA70" s="6" t="n"/>
      <c r="FB70" s="6" t="n"/>
      <c r="FC70" s="6" t="n"/>
      <c r="FD70" s="6" t="n"/>
      <c r="FE70" s="6" t="n"/>
      <c r="FF70" s="6" t="n"/>
      <c r="FG70" s="6" t="n"/>
      <c r="FH70" s="6" t="n"/>
      <c r="FI70" s="6" t="n"/>
      <c r="FJ70" s="6" t="n"/>
      <c r="FK70" s="6" t="n"/>
      <c r="FL70" s="6" t="n"/>
      <c r="FM70" s="6" t="n"/>
      <c r="FN70" s="6" t="n"/>
      <c r="FO70" s="6" t="n"/>
      <c r="FP70" s="6" t="n"/>
      <c r="FQ70" s="6" t="n"/>
      <c r="FR70" s="6" t="n"/>
      <c r="FS70" s="6" t="n"/>
      <c r="FT70" s="6" t="n"/>
      <c r="FU70" s="6" t="n"/>
      <c r="FV70" s="6" t="n"/>
      <c r="FW70" s="6" t="n"/>
      <c r="FX70" s="6" t="n"/>
      <c r="FY70" s="6" t="n"/>
      <c r="FZ70" s="6" t="n"/>
      <c r="GA70" s="6" t="n"/>
      <c r="GB70" s="6" t="n"/>
      <c r="GC70" s="6" t="n"/>
      <c r="GD70" s="6" t="n"/>
      <c r="GE70" s="6" t="n"/>
      <c r="GF70" s="6" t="n"/>
      <c r="GG70" s="6" t="n"/>
      <c r="GH70" s="6" t="n"/>
      <c r="GI70" s="6" t="n"/>
      <c r="GJ70" s="6" t="n"/>
      <c r="GK70" s="6" t="n"/>
      <c r="GL70" s="6" t="n"/>
      <c r="GM70" s="6" t="n"/>
      <c r="GN70" s="6" t="n"/>
    </row>
    <row r="71" ht="18.75" customHeight="1" s="11">
      <c r="C71" s="184" t="inlineStr">
        <is>
          <t>Beneficiary's address: PETROVSKII PROEZD, D. VL2, C. S2 ET4 MOSKOVSKAYA, RUSSIA</t>
        </is>
      </c>
      <c r="F71" s="42" t="n"/>
      <c r="G71" s="42" t="n"/>
      <c r="H71" s="236" t="n"/>
      <c r="I71" s="184" t="inlineStr">
        <is>
          <t>Beneficiary's address: PETROVSKII PROEZD, D. VL2, C. S2 ET4 MOSKOVSKAYA, RUSSIA</t>
        </is>
      </c>
      <c r="AD71" s="7" t="n"/>
      <c r="AE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  <c r="CQ71" s="7" t="n"/>
      <c r="CR71" s="7" t="n"/>
      <c r="CS71" s="7" t="n"/>
      <c r="CT71" s="7" t="n"/>
      <c r="CU71" s="7" t="n"/>
      <c r="CV71" s="7" t="n"/>
      <c r="CW71" s="7" t="n"/>
      <c r="CX71" s="7" t="n"/>
      <c r="CY71" s="7" t="n"/>
      <c r="CZ71" s="7" t="n"/>
      <c r="DA71" s="7" t="n"/>
      <c r="DB71" s="7" t="n"/>
      <c r="DC71" s="7" t="n"/>
      <c r="DD71" s="7" t="n"/>
      <c r="DE71" s="7" t="n"/>
      <c r="DF71" s="7" t="n"/>
      <c r="DG71" s="7" t="n"/>
      <c r="DH71" s="7" t="n"/>
      <c r="DI71" s="7" t="n"/>
      <c r="DJ71" s="7" t="n"/>
      <c r="DK71" s="7" t="n"/>
      <c r="DL71" s="7" t="n"/>
      <c r="DM71" s="7" t="n"/>
      <c r="DN71" s="7" t="n"/>
      <c r="DO71" s="7" t="n"/>
      <c r="DP71" s="7" t="n"/>
      <c r="DQ71" s="7" t="n"/>
      <c r="DR71" s="7" t="n"/>
      <c r="DS71" s="7" t="n"/>
      <c r="DT71" s="7" t="n"/>
      <c r="DU71" s="7" t="n"/>
      <c r="DV71" s="7" t="n"/>
      <c r="DW71" s="7" t="n"/>
      <c r="DX71" s="7" t="n"/>
      <c r="DY71" s="7" t="n"/>
      <c r="DZ71" s="7" t="n"/>
      <c r="EA71" s="7" t="n"/>
      <c r="EB71" s="7" t="n"/>
      <c r="EC71" s="7" t="n"/>
      <c r="ED71" s="7" t="n"/>
      <c r="EE71" s="6" t="n"/>
      <c r="EF71" s="6" t="n"/>
      <c r="EG71" s="6" t="n"/>
      <c r="EH71" s="6" t="n"/>
      <c r="EI71" s="6" t="n"/>
      <c r="EJ71" s="6" t="n"/>
      <c r="EK71" s="6" t="n"/>
      <c r="EL71" s="6" t="n"/>
      <c r="EM71" s="6" t="n"/>
      <c r="EN71" s="6" t="n"/>
      <c r="EO71" s="6" t="n"/>
      <c r="EP71" s="6" t="n"/>
      <c r="EQ71" s="6" t="n"/>
      <c r="ER71" s="6" t="n"/>
      <c r="ES71" s="6" t="n"/>
      <c r="ET71" s="6" t="n"/>
      <c r="EU71" s="6" t="n"/>
      <c r="EV71" s="6" t="n"/>
      <c r="EW71" s="6" t="n"/>
      <c r="EX71" s="6" t="n"/>
      <c r="EY71" s="6" t="n"/>
      <c r="EZ71" s="6" t="n"/>
      <c r="FA71" s="6" t="n"/>
      <c r="FB71" s="6" t="n"/>
      <c r="FC71" s="6" t="n"/>
      <c r="FD71" s="6" t="n"/>
      <c r="FE71" s="6" t="n"/>
      <c r="FF71" s="6" t="n"/>
      <c r="FG71" s="6" t="n"/>
      <c r="FH71" s="6" t="n"/>
      <c r="FI71" s="6" t="n"/>
      <c r="FJ71" s="6" t="n"/>
      <c r="FK71" s="6" t="n"/>
      <c r="FL71" s="6" t="n"/>
      <c r="FM71" s="6" t="n"/>
      <c r="FN71" s="6" t="n"/>
      <c r="FO71" s="6" t="n"/>
      <c r="FP71" s="6" t="n"/>
      <c r="FQ71" s="6" t="n"/>
      <c r="FR71" s="6" t="n"/>
      <c r="FS71" s="6" t="n"/>
      <c r="FT71" s="6" t="n"/>
      <c r="FU71" s="6" t="n"/>
      <c r="FV71" s="6" t="n"/>
      <c r="FW71" s="6" t="n"/>
      <c r="FX71" s="6" t="n"/>
      <c r="FY71" s="6" t="n"/>
      <c r="FZ71" s="6" t="n"/>
      <c r="GA71" s="6" t="n"/>
      <c r="GB71" s="6" t="n"/>
      <c r="GC71" s="6" t="n"/>
      <c r="GD71" s="6" t="n"/>
      <c r="GE71" s="6" t="n"/>
      <c r="GF71" s="6" t="n"/>
      <c r="GG71" s="6" t="n"/>
      <c r="GH71" s="6" t="n"/>
      <c r="GI71" s="6" t="n"/>
      <c r="GJ71" s="6" t="n"/>
      <c r="GK71" s="6" t="n"/>
      <c r="GL71" s="6" t="n"/>
      <c r="GM71" s="6" t="n"/>
      <c r="GN71" s="6" t="n"/>
    </row>
    <row r="72" ht="15" customHeight="1" s="11">
      <c r="C72" s="184" t="inlineStr">
        <is>
          <t>Beneficiary acc. No: 40702840202200002189</t>
        </is>
      </c>
      <c r="F72" s="42" t="n"/>
      <c r="G72" s="42" t="n"/>
      <c r="H72" s="236" t="n"/>
      <c r="I72" s="184" t="inlineStr">
        <is>
          <t>Beneficiary acc. No: 40702840202200002189</t>
        </is>
      </c>
      <c r="AD72" s="7" t="n"/>
      <c r="AE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/>
      <c r="CN72" s="7" t="n"/>
      <c r="CO72" s="7" t="n"/>
      <c r="CP72" s="7" t="n"/>
      <c r="CQ72" s="7" t="n"/>
      <c r="CR72" s="7" t="n"/>
      <c r="CS72" s="7" t="n"/>
      <c r="CT72" s="7" t="n"/>
      <c r="CU72" s="7" t="n"/>
      <c r="CV72" s="7" t="n"/>
      <c r="CW72" s="7" t="n"/>
      <c r="CX72" s="7" t="n"/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7" t="n"/>
      <c r="DP72" s="7" t="n"/>
      <c r="DQ72" s="7" t="n"/>
      <c r="DR72" s="7" t="n"/>
      <c r="DS72" s="7" t="n"/>
      <c r="DT72" s="7" t="n"/>
      <c r="DU72" s="7" t="n"/>
      <c r="DV72" s="7" t="n"/>
      <c r="DW72" s="7" t="n"/>
      <c r="DX72" s="7" t="n"/>
      <c r="DY72" s="7" t="n"/>
      <c r="DZ72" s="7" t="n"/>
      <c r="EA72" s="7" t="n"/>
      <c r="EB72" s="7" t="n"/>
      <c r="EC72" s="7" t="n"/>
      <c r="ED72" s="7" t="n"/>
      <c r="EE72" s="6" t="n"/>
      <c r="EF72" s="6" t="n"/>
      <c r="EG72" s="6" t="n"/>
      <c r="EH72" s="6" t="n"/>
      <c r="EI72" s="6" t="n"/>
      <c r="EJ72" s="6" t="n"/>
      <c r="EK72" s="6" t="n"/>
      <c r="EL72" s="6" t="n"/>
      <c r="EM72" s="6" t="n"/>
      <c r="EN72" s="6" t="n"/>
      <c r="EO72" s="6" t="n"/>
      <c r="EP72" s="6" t="n"/>
      <c r="EQ72" s="6" t="n"/>
      <c r="ER72" s="6" t="n"/>
      <c r="ES72" s="6" t="n"/>
      <c r="ET72" s="6" t="n"/>
      <c r="EU72" s="6" t="n"/>
      <c r="EV72" s="6" t="n"/>
      <c r="EW72" s="6" t="n"/>
      <c r="EX72" s="6" t="n"/>
      <c r="EY72" s="6" t="n"/>
      <c r="EZ72" s="6" t="n"/>
      <c r="FA72" s="6" t="n"/>
      <c r="FB72" s="6" t="n"/>
      <c r="FC72" s="6" t="n"/>
      <c r="FD72" s="6" t="n"/>
      <c r="FE72" s="6" t="n"/>
      <c r="FF72" s="6" t="n"/>
      <c r="FG72" s="6" t="n"/>
      <c r="FH72" s="6" t="n"/>
      <c r="FI72" s="6" t="n"/>
      <c r="FJ72" s="6" t="n"/>
      <c r="FK72" s="6" t="n"/>
      <c r="FL72" s="6" t="n"/>
      <c r="FM72" s="6" t="n"/>
      <c r="FN72" s="6" t="n"/>
      <c r="FO72" s="6" t="n"/>
      <c r="FP72" s="6" t="n"/>
      <c r="FQ72" s="6" t="n"/>
      <c r="FR72" s="6" t="n"/>
      <c r="FS72" s="6" t="n"/>
      <c r="FT72" s="6" t="n"/>
      <c r="FU72" s="6" t="n"/>
      <c r="FV72" s="6" t="n"/>
      <c r="FW72" s="6" t="n"/>
      <c r="FX72" s="6" t="n"/>
      <c r="FY72" s="6" t="n"/>
      <c r="FZ72" s="6" t="n"/>
      <c r="GA72" s="6" t="n"/>
      <c r="GB72" s="6" t="n"/>
      <c r="GC72" s="6" t="n"/>
      <c r="GD72" s="6" t="n"/>
      <c r="GE72" s="6" t="n"/>
      <c r="GF72" s="6" t="n"/>
      <c r="GG72" s="6" t="n"/>
      <c r="GH72" s="6" t="n"/>
      <c r="GI72" s="6" t="n"/>
      <c r="GJ72" s="6" t="n"/>
      <c r="GK72" s="6" t="n"/>
      <c r="GL72" s="6" t="n"/>
      <c r="GM72" s="6" t="n"/>
      <c r="GN72" s="6" t="n"/>
    </row>
    <row r="73" ht="17.25" customHeight="1" s="11">
      <c r="C73" s="190" t="inlineStr">
        <is>
          <t>SWIFT: ALFARUMM</t>
        </is>
      </c>
      <c r="F73" s="38" t="n"/>
      <c r="G73" s="38" t="n"/>
      <c r="H73" s="236" t="n"/>
      <c r="I73" s="184" t="inlineStr">
        <is>
          <t>SWIFT: ALFARUMM</t>
        </is>
      </c>
      <c r="AD73" s="7" t="n"/>
      <c r="AE73" s="7" t="n"/>
      <c r="AG73" s="7" t="n"/>
      <c r="GO73" s="5" t="n"/>
      <c r="GP73" s="5" t="n"/>
      <c r="GQ73" s="5" t="n"/>
    </row>
    <row r="74" ht="17.25" customHeight="1" s="11">
      <c r="C74" s="184" t="inlineStr">
        <is>
          <t>Beneficiary's bank : AO «ALFA-BANK»</t>
        </is>
      </c>
      <c r="F74" s="42" t="n"/>
      <c r="G74" s="42" t="n"/>
      <c r="H74" s="236" t="n"/>
      <c r="I74" s="184" t="inlineStr">
        <is>
          <t>Beneficiary's bank : AO «ALFA-BANK»</t>
        </is>
      </c>
      <c r="AD74" s="7" t="n"/>
      <c r="AE74" s="7" t="n"/>
      <c r="AG74" s="7" t="n"/>
      <c r="GO74" s="5" t="n"/>
      <c r="GP74" s="5" t="n"/>
      <c r="GQ74" s="5" t="n"/>
      <c r="GR74" s="5" t="n"/>
      <c r="GS74" s="5" t="n"/>
      <c r="GT74" s="5" t="n"/>
      <c r="GU74" s="5" t="n"/>
      <c r="GV74" s="5" t="n"/>
      <c r="GW74" s="5" t="n"/>
      <c r="GX74" s="5" t="n"/>
    </row>
    <row r="75" ht="17.25" customHeight="1" s="11">
      <c r="C75" s="184" t="inlineStr">
        <is>
          <t>Beneficiary's bank address: 27 Kalanchevskaya str., Moscow, 107078</t>
        </is>
      </c>
      <c r="F75" s="42" t="n"/>
      <c r="G75" s="42" t="n"/>
      <c r="H75" s="236" t="n"/>
      <c r="I75" s="184" t="inlineStr">
        <is>
          <t>Beneficiary's bank address: 27 Kalanchevskaya str., Moscow, 107078</t>
        </is>
      </c>
      <c r="AD75" s="7" t="n"/>
      <c r="AE75" s="7" t="n"/>
      <c r="AG75" s="7" t="n"/>
      <c r="GO75" s="5" t="n"/>
      <c r="GP75" s="5" t="n"/>
      <c r="GQ75" s="5" t="n"/>
      <c r="GR75" s="5" t="n"/>
      <c r="GS75" s="5" t="n"/>
      <c r="GT75" s="5" t="n"/>
      <c r="GU75" s="5" t="n"/>
    </row>
    <row r="76" ht="17.25" customHeight="1" s="11">
      <c r="C76" s="184" t="n"/>
      <c r="D76" s="184" t="n"/>
      <c r="E76" s="54" t="n"/>
      <c r="F76" s="38" t="n"/>
      <c r="G76" s="38" t="n"/>
      <c r="H76" s="236" t="n"/>
      <c r="I76" s="184" t="n"/>
      <c r="J76" s="237" t="n"/>
      <c r="K76" s="58" t="n"/>
      <c r="L76" s="238" t="n"/>
      <c r="M76" s="58" t="n"/>
      <c r="N76" s="237" t="n"/>
      <c r="AD76" s="7" t="n"/>
      <c r="AE76" s="7" t="n"/>
      <c r="AG76" s="7" t="n"/>
    </row>
    <row r="77" ht="17.25" customHeight="1" s="11">
      <c r="C77" s="184" t="n"/>
      <c r="D77" s="184" t="n"/>
      <c r="E77" s="54" t="n"/>
      <c r="F77" s="38" t="n"/>
      <c r="G77" s="38" t="n"/>
      <c r="H77" s="236" t="n"/>
      <c r="I77" s="184" t="n"/>
      <c r="J77" s="237" t="n"/>
      <c r="K77" s="58" t="n"/>
      <c r="L77" s="238" t="n"/>
      <c r="M77" s="58" t="n"/>
      <c r="N77" s="237" t="n"/>
      <c r="AD77" s="7" t="n"/>
      <c r="AE77" s="7" t="n"/>
      <c r="AG77" s="7" t="n"/>
    </row>
    <row r="78" ht="17.25" customHeight="1" s="11">
      <c r="C78" s="184" t="inlineStr">
        <is>
          <t>Генеральный директор______________ Величко И.В.</t>
        </is>
      </c>
      <c r="F78" s="42" t="n"/>
      <c r="G78" s="42" t="n"/>
      <c r="H78" s="236" t="n"/>
      <c r="I78" s="184" t="inlineStr">
        <is>
          <t>General director ___________________Velichko I.V.</t>
        </is>
      </c>
      <c r="AD78" s="7" t="n"/>
      <c r="AE78" s="7" t="n"/>
      <c r="AG78" s="7" t="n"/>
    </row>
    <row r="79" ht="17.25" customHeight="1" s="11">
      <c r="C79" s="6" t="n"/>
      <c r="D79" s="6" t="n"/>
      <c r="E79" s="46" t="n"/>
      <c r="F79" s="6" t="n"/>
      <c r="G79" s="6" t="n"/>
      <c r="H79" s="6" t="n"/>
      <c r="I79" s="6" t="n"/>
      <c r="J79" s="239" t="n"/>
      <c r="K79" s="59" t="n"/>
      <c r="L79" s="240" t="n"/>
      <c r="M79" s="6" t="n"/>
      <c r="N79" s="239" t="n"/>
    </row>
    <row r="80" ht="17.25" customHeight="1" s="11">
      <c r="C80" s="6" t="n"/>
      <c r="D80" s="6" t="n"/>
      <c r="E80" s="46" t="n"/>
      <c r="F80" s="6" t="n"/>
      <c r="G80" s="6" t="n"/>
      <c r="H80" s="6" t="n"/>
      <c r="I80" s="6" t="n"/>
      <c r="J80" s="239" t="n"/>
      <c r="K80" s="59" t="n"/>
      <c r="L80" s="240" t="n"/>
      <c r="M80" s="6" t="n"/>
      <c r="N80" s="239" t="n"/>
    </row>
    <row r="81" ht="17.25" customHeight="1" s="11">
      <c r="C81" s="5" t="n"/>
      <c r="D81" s="5" t="n"/>
      <c r="M81" s="47" t="n"/>
    </row>
  </sheetData>
  <autoFilter ref="A22:GX49"/>
  <mergeCells count="85">
    <mergeCell ref="C44:E44"/>
    <mergeCell ref="I75:N75"/>
    <mergeCell ref="C40:E40"/>
    <mergeCell ref="C51:E51"/>
    <mergeCell ref="C60:E60"/>
    <mergeCell ref="C71:E71"/>
    <mergeCell ref="I67:N67"/>
    <mergeCell ref="M10:N10"/>
    <mergeCell ref="I14:N14"/>
    <mergeCell ref="I48:N48"/>
    <mergeCell ref="I78:N78"/>
    <mergeCell ref="C57:E57"/>
    <mergeCell ref="C49:E49"/>
    <mergeCell ref="I40:N40"/>
    <mergeCell ref="C42:E42"/>
    <mergeCell ref="C74:E74"/>
    <mergeCell ref="B1:N1"/>
    <mergeCell ref="I44:L44"/>
    <mergeCell ref="C75:E75"/>
    <mergeCell ref="I66:N66"/>
    <mergeCell ref="I18:N18"/>
    <mergeCell ref="I53:N53"/>
    <mergeCell ref="C59:E59"/>
    <mergeCell ref="C46:E46"/>
    <mergeCell ref="I68:N68"/>
    <mergeCell ref="I55:N55"/>
    <mergeCell ref="C52:E52"/>
    <mergeCell ref="C61:E61"/>
    <mergeCell ref="I52:N52"/>
    <mergeCell ref="C39:E39"/>
    <mergeCell ref="C70:E70"/>
    <mergeCell ref="C48:E48"/>
    <mergeCell ref="I39:N39"/>
    <mergeCell ref="B3:N3"/>
    <mergeCell ref="I13:N13"/>
    <mergeCell ref="I46:N46"/>
    <mergeCell ref="C73:E73"/>
    <mergeCell ref="I70:N70"/>
    <mergeCell ref="I57:N57"/>
    <mergeCell ref="C63:E63"/>
    <mergeCell ref="I54:N54"/>
    <mergeCell ref="I72:N72"/>
    <mergeCell ref="C50:E50"/>
    <mergeCell ref="I41:N41"/>
    <mergeCell ref="C55:E55"/>
    <mergeCell ref="I71:N71"/>
    <mergeCell ref="I43:N43"/>
    <mergeCell ref="I42:N42"/>
    <mergeCell ref="B7:N7"/>
    <mergeCell ref="C67:E67"/>
    <mergeCell ref="C72:E72"/>
    <mergeCell ref="I19:N19"/>
    <mergeCell ref="C69:E69"/>
    <mergeCell ref="I60:N60"/>
    <mergeCell ref="C78:E78"/>
    <mergeCell ref="I69:N69"/>
    <mergeCell ref="B2:N2"/>
    <mergeCell ref="C62:E62"/>
    <mergeCell ref="B16:G16"/>
    <mergeCell ref="C64:E64"/>
    <mergeCell ref="I61:N61"/>
    <mergeCell ref="I47:N47"/>
    <mergeCell ref="C54:E54"/>
    <mergeCell ref="C41:E41"/>
    <mergeCell ref="I15:M15"/>
    <mergeCell ref="B17:G17"/>
    <mergeCell ref="C43:E43"/>
    <mergeCell ref="I62:N62"/>
    <mergeCell ref="B4:N4"/>
    <mergeCell ref="I64:N64"/>
    <mergeCell ref="I73:N73"/>
    <mergeCell ref="I51:N51"/>
    <mergeCell ref="I16:N17"/>
    <mergeCell ref="C66:E66"/>
    <mergeCell ref="I63:N63"/>
    <mergeCell ref="C53:E53"/>
    <mergeCell ref="I50:N50"/>
    <mergeCell ref="I65:N65"/>
    <mergeCell ref="C68:E68"/>
    <mergeCell ref="I74:N74"/>
    <mergeCell ref="I49:N49"/>
    <mergeCell ref="C45:E45"/>
    <mergeCell ref="I45:N45"/>
    <mergeCell ref="C65:E65"/>
    <mergeCell ref="C47:E47"/>
  </mergeCells>
  <hyperlinks>
    <hyperlink xmlns:r="http://schemas.openxmlformats.org/officeDocument/2006/relationships" ref="B4" r:id="rId1"/>
    <hyperlink xmlns:r="http://schemas.openxmlformats.org/officeDocument/2006/relationships" ref="C44" display="http://www.zhongfanghz.cn/" r:id="rId2"/>
    <hyperlink xmlns:r="http://schemas.openxmlformats.org/officeDocument/2006/relationships" ref="I44" display="http://www.zhongfanghz.cn/" r:id="rId3"/>
  </hyperlinks>
  <pageMargins left="0.25" right="0.25" top="0.75" bottom="0.75" header="0.3" footer="0.3"/>
  <pageSetup orientation="landscape" paperSize="9" scale="68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E59"/>
  <sheetViews>
    <sheetView zoomScale="70" zoomScaleNormal="70" zoomScaleSheetLayoutView="70" workbookViewId="0">
      <pane ySplit="1" topLeftCell="A36" activePane="bottomLeft" state="frozen"/>
      <selection pane="bottomLeft" activeCell="E73" sqref="E73"/>
    </sheetView>
  </sheetViews>
  <sheetFormatPr baseColWidth="8" defaultRowHeight="17.25" customHeight="1"/>
  <cols>
    <col width="4.3125" customWidth="1" style="11" min="1" max="1"/>
    <col width="4.8125" customWidth="1" style="11" min="2" max="2"/>
    <col hidden="1" width="8.5625" customWidth="1" style="2" min="3" max="3"/>
    <col width="17" customWidth="1" style="2" min="4" max="4"/>
    <col width="85" customWidth="1" style="55" min="5" max="5"/>
    <col width="13.8125" customWidth="1" style="1" min="6" max="6"/>
    <col width="10.75" customWidth="1" style="1" min="7" max="7"/>
    <col hidden="1" width="9.8125" customWidth="1" style="195" min="8" max="8"/>
    <col hidden="1" width="7.25" customWidth="1" style="195" min="9" max="9"/>
    <col hidden="1" width="10.25" customWidth="1" style="196" min="10" max="10"/>
    <col hidden="1" width="10.25" customWidth="1" style="47" min="11" max="11"/>
    <col hidden="1" width="10.25" customWidth="1" style="197" min="12" max="12"/>
    <col hidden="1" width="8.75" customWidth="1" style="198" min="13" max="13"/>
    <col hidden="1" width="14.0625" customWidth="1" style="196" min="14" max="14"/>
    <col width="9" customWidth="1" style="5" min="15" max="15"/>
    <col width="9.25" bestFit="1" customWidth="1" style="5" min="16" max="16"/>
    <col hidden="1" width="10" customWidth="1" style="5" min="17" max="18"/>
    <col width="9" customWidth="1" style="5" min="19" max="203"/>
  </cols>
  <sheetData>
    <row r="1" ht="25.15" customHeight="1" s="11">
      <c r="A1" s="6" t="n"/>
      <c r="B1" s="169" t="inlineStr">
        <is>
          <t>杭 州 中 纺 进 出 口 有 限 公 司</t>
        </is>
      </c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  <c r="BU1" s="7" t="n"/>
      <c r="BV1" s="7" t="n"/>
      <c r="BW1" s="7" t="n"/>
      <c r="BX1" s="7" t="n"/>
      <c r="BY1" s="7" t="n"/>
      <c r="BZ1" s="7" t="n"/>
      <c r="CA1" s="7" t="n"/>
      <c r="CB1" s="7" t="n"/>
      <c r="CC1" s="7" t="n"/>
      <c r="CD1" s="7" t="n"/>
      <c r="CE1" s="7" t="n"/>
      <c r="CF1" s="7" t="n"/>
      <c r="CG1" s="7" t="n"/>
      <c r="CH1" s="7" t="n"/>
      <c r="CI1" s="7" t="n"/>
      <c r="CJ1" s="7" t="n"/>
      <c r="CK1" s="7" t="n"/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  <c r="CU1" s="7" t="n"/>
      <c r="CV1" s="7" t="n"/>
      <c r="CW1" s="7" t="n"/>
      <c r="CX1" s="7" t="n"/>
      <c r="CY1" s="7" t="n"/>
      <c r="CZ1" s="7" t="n"/>
      <c r="DA1" s="7" t="n"/>
      <c r="DB1" s="7" t="n"/>
      <c r="DC1" s="7" t="n"/>
      <c r="DD1" s="7" t="n"/>
      <c r="DE1" s="7" t="n"/>
      <c r="DF1" s="7" t="n"/>
      <c r="DG1" s="7" t="n"/>
      <c r="DH1" s="7" t="n"/>
      <c r="DI1" s="7" t="n"/>
      <c r="DJ1" s="7" t="n"/>
      <c r="DK1" s="7" t="n"/>
      <c r="DL1" s="7" t="n"/>
      <c r="DM1" s="7" t="n"/>
      <c r="DN1" s="7" t="n"/>
      <c r="DO1" s="7" t="n"/>
      <c r="DP1" s="7" t="n"/>
      <c r="DQ1" s="7" t="n"/>
      <c r="DR1" s="7" t="n"/>
      <c r="DS1" s="7" t="n"/>
      <c r="DT1" s="7" t="n"/>
      <c r="DU1" s="7" t="n"/>
      <c r="DV1" s="7" t="n"/>
      <c r="DW1" s="7" t="n"/>
      <c r="DX1" s="7" t="n"/>
      <c r="DY1" s="7" t="n"/>
      <c r="DZ1" s="7" t="n"/>
      <c r="EA1" s="7" t="n"/>
      <c r="EB1" s="7" t="n"/>
      <c r="EC1" s="7" t="n"/>
      <c r="ED1" s="7" t="n"/>
      <c r="EE1" s="7" t="n"/>
      <c r="EF1" s="7" t="n"/>
      <c r="EG1" s="7" t="n"/>
      <c r="EH1" s="7" t="n"/>
      <c r="EI1" s="7" t="n"/>
      <c r="EJ1" s="7" t="n"/>
      <c r="EK1" s="7" t="n"/>
    </row>
    <row r="2" ht="26.25" customHeight="1" s="11">
      <c r="B2" s="171" t="inlineStr">
        <is>
          <t>HANGZHOU ZHONGFANG TEXTILE IMP./EXP. CO., LTD.</t>
        </is>
      </c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</row>
    <row r="3" ht="60.75" customHeight="1" s="11">
      <c r="B3" s="173" t="inlineStr">
        <is>
          <t>NO.756-2,RENMIN AVENUE,NANYUAN STREET, LINPING DISTRICT,HANGZHOU, ZHEJIANG PROVINCE CHINA, tel: +86-571-86255881, E-mail: liuzhihui@zhongfanghz.cn</t>
        </is>
      </c>
    </row>
    <row r="4" ht="15" customHeight="1" s="11">
      <c r="B4" s="173" t="inlineStr">
        <is>
          <t xml:space="preserve">www.zhongfanghz.cn </t>
        </is>
      </c>
    </row>
    <row r="5" ht="27" customHeight="1" s="11">
      <c r="B5" s="193">
        <f>"DESCRIPTION FOR SPECIFICATION №"&amp;'инвойс 1'!L9&amp;" dd "&amp;'инвойс 1'!L11</f>
        <v/>
      </c>
    </row>
    <row r="6" ht="15.75" customHeight="1" s="11">
      <c r="B6" s="14" t="inlineStr">
        <is>
          <t>Contract/Контракт №：SM-LU2 dated 23.11.2018</t>
        </is>
      </c>
      <c r="C6" s="14" t="n"/>
      <c r="D6" s="14" t="n"/>
      <c r="E6" s="50" t="n"/>
      <c r="F6" s="14" t="n"/>
      <c r="G6" s="14" t="n"/>
      <c r="H6" s="14" t="n"/>
      <c r="I6" s="14" t="n"/>
      <c r="J6" s="207" t="n"/>
      <c r="K6" s="16" t="n"/>
      <c r="L6" s="211" t="n"/>
      <c r="M6" s="167" t="n"/>
    </row>
    <row r="7" ht="18" customHeight="1" s="11">
      <c r="B7" s="177" t="inlineStr">
        <is>
          <t>Manufactor and Seller / Производитель и Продавец:</t>
        </is>
      </c>
      <c r="G7" s="19" t="n"/>
      <c r="H7" s="20" t="n"/>
      <c r="I7" s="177" t="n"/>
    </row>
    <row r="8" ht="19.5" customHeight="1" s="11">
      <c r="B8" s="179" t="inlineStr">
        <is>
          <t>HANGZHOU ZHONGFANG TEXTILE IMP./EXP. CO., LTD.</t>
        </is>
      </c>
      <c r="G8" s="19" t="n"/>
      <c r="H8" s="20" t="n"/>
      <c r="I8" s="179" t="n"/>
    </row>
    <row r="9" ht="16.5" customHeight="1" s="11">
      <c r="B9" s="177" t="inlineStr">
        <is>
          <t>Address/Адрес:</t>
        </is>
      </c>
      <c r="F9" s="208" t="n"/>
      <c r="G9" s="19" t="n"/>
      <c r="H9" s="20" t="n"/>
      <c r="I9" s="177" t="n"/>
      <c r="N9" s="208" t="n"/>
    </row>
    <row r="10" ht="34.5" customHeight="1" s="11">
      <c r="B10" s="179" t="inlineStr">
        <is>
          <t>NO.756-2,RENMIN AVENUE,NANYUAN STREET, LINPING DISTRICT,HANGZHOU, ZHEJIANG PROVINCE CHINA, tel: +86-571-86255881, E-mail: liuzhihui@zhongfanghz.cn</t>
        </is>
      </c>
      <c r="G10" s="23" t="n"/>
      <c r="H10" s="24" t="n"/>
      <c r="I10" s="179" t="n"/>
    </row>
    <row r="11" ht="11.25" customHeight="1" s="11">
      <c r="B11" s="21" t="n"/>
      <c r="C11" s="28" t="n"/>
      <c r="D11" s="28" t="n"/>
      <c r="E11" s="52" t="n"/>
      <c r="F11" s="29" t="n"/>
      <c r="G11" s="30" t="n"/>
      <c r="H11" s="30" t="n"/>
      <c r="I11" s="212" t="n"/>
      <c r="J11" s="213" t="n"/>
      <c r="K11" s="33" t="n"/>
      <c r="L11" s="215" t="n"/>
      <c r="M11" s="32" t="n"/>
      <c r="N11" s="213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</row>
    <row r="12" ht="70.5" customFormat="1" customHeight="1" s="86">
      <c r="B12" s="79" t="inlineStr">
        <is>
          <t>№</t>
        </is>
      </c>
      <c r="C12" s="80" t="inlineStr">
        <is>
          <t>Q-Ty Rolls /  Кол-во рулонов.</t>
        </is>
      </c>
      <c r="D12" s="79" t="inlineStr">
        <is>
          <t>Art./Артикул</t>
        </is>
      </c>
      <c r="E12" s="80" t="inlineStr">
        <is>
          <t>Product name / Наименование товара</t>
        </is>
      </c>
      <c r="F12" s="80" t="inlineStr">
        <is>
          <t>HS code / Код гармонизированной системы</t>
        </is>
      </c>
      <c r="G12" s="80" t="inlineStr">
        <is>
          <t>Customs code / Таможенный код</t>
        </is>
      </c>
      <c r="H12" s="216" t="inlineStr">
        <is>
          <t>Q-ty meters / Кол-во погонных метров</t>
        </is>
      </c>
      <c r="I12" s="216" t="inlineStr">
        <is>
          <t>Widht, m / Ширина, м</t>
        </is>
      </c>
      <c r="J12" s="217" t="inlineStr">
        <is>
          <t>Q-ty m2 / Кол-во кв.м</t>
        </is>
      </c>
      <c r="K12" s="83" t="inlineStr">
        <is>
          <t>N.W, kg / Вес Нетто, кг</t>
        </is>
      </c>
      <c r="L12" s="218" t="inlineStr">
        <is>
          <t>G.W, kg / Вес Брутто, кг</t>
        </is>
      </c>
      <c r="M12" s="82" t="inlineStr">
        <is>
          <t>Price per meter ￥/ Цена за пог. метр, Юань</t>
        </is>
      </c>
      <c r="N12" s="217" t="inlineStr">
        <is>
          <t>Total price, Y / Цена, Юань</t>
        </is>
      </c>
    </row>
    <row r="13" ht="78" customFormat="1" customHeight="1" s="87">
      <c r="B13" s="104" t="n">
        <v>1</v>
      </c>
      <c r="C13" s="104" t="n">
        <v>8</v>
      </c>
      <c r="D13" s="104" t="inlineStr">
        <is>
          <t>Melange 928</t>
        </is>
      </c>
      <c r="E13" s="104" t="inlineStr">
        <is>
          <t xml:space="preserve">Upholstery fabric from textured polyether yarns of different colors, made from: polyester - 100%. Ткань мебельная обивочная из текстурированных полиэфирных нитей разных цветов, состав полиэстер 100% </t>
        </is>
      </c>
      <c r="F13" s="104" t="inlineStr">
        <is>
          <t>5407530000</t>
        </is>
      </c>
      <c r="G13" s="104" t="inlineStr">
        <is>
          <t>5407530000</t>
        </is>
      </c>
      <c r="H13" s="94" t="n">
        <v>302.9</v>
      </c>
      <c r="I13" s="94" t="n">
        <v>1.41</v>
      </c>
      <c r="J13" s="221" t="n">
        <v>427.089</v>
      </c>
      <c r="K13" s="94" t="n"/>
      <c r="L13" s="94" t="n"/>
      <c r="M13" s="222" t="n">
        <v>22.5</v>
      </c>
      <c r="N13" s="222" t="n">
        <v>6815.25</v>
      </c>
      <c r="P13" s="241" t="n"/>
      <c r="Q13" s="241">
        <f>M13*H13</f>
        <v/>
      </c>
      <c r="R13" s="241">
        <f>ROUND(Q13,2)</f>
        <v/>
      </c>
    </row>
    <row r="14" ht="78" customFormat="1" customHeight="1" s="87">
      <c r="B14" s="104" t="n">
        <v>2</v>
      </c>
      <c r="C14" s="104" t="n">
        <v>15</v>
      </c>
      <c r="D14" s="104" t="inlineStr">
        <is>
          <t>Noble 110</t>
        </is>
      </c>
      <c r="E14" s="104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F14" s="104" t="inlineStr">
        <is>
          <t>5407610000</t>
        </is>
      </c>
      <c r="G14" s="104" t="inlineStr">
        <is>
          <t>5407613000</t>
        </is>
      </c>
      <c r="H14" s="94" t="n">
        <v>611.5</v>
      </c>
      <c r="I14" s="94" t="n">
        <v>1.42</v>
      </c>
      <c r="J14" s="221" t="n">
        <v>868.33</v>
      </c>
      <c r="K14" s="94" t="n"/>
      <c r="L14" s="94" t="n"/>
      <c r="M14" s="222" t="n">
        <v>43.8</v>
      </c>
      <c r="N14" s="222" t="n">
        <v>26783.7</v>
      </c>
      <c r="P14" s="241" t="n"/>
      <c r="Q14" s="241" t="n"/>
      <c r="R14" s="241" t="n"/>
    </row>
    <row r="15" ht="80.25" customFormat="1" customHeight="1" s="87">
      <c r="B15" s="104" t="n">
        <v>3</v>
      </c>
      <c r="C15" s="104" t="n">
        <v>12</v>
      </c>
      <c r="D15" s="104" t="inlineStr">
        <is>
          <t>Noble 624</t>
        </is>
      </c>
      <c r="E15" s="104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F15" s="104" t="inlineStr">
        <is>
          <t>5407610000</t>
        </is>
      </c>
      <c r="G15" s="104" t="inlineStr">
        <is>
          <t>5407613000</t>
        </is>
      </c>
      <c r="H15" s="94" t="n">
        <v>507</v>
      </c>
      <c r="I15" s="94" t="n">
        <v>1.42</v>
      </c>
      <c r="J15" s="221" t="n">
        <v>719.9400000000001</v>
      </c>
      <c r="K15" s="94" t="n"/>
      <c r="L15" s="94" t="n"/>
      <c r="M15" s="222" t="n">
        <v>43.8</v>
      </c>
      <c r="N15" s="222" t="n">
        <v>22206.6</v>
      </c>
      <c r="P15" s="241" t="n"/>
      <c r="Q15" s="241" t="n"/>
      <c r="R15" s="241" t="n"/>
    </row>
    <row r="16" ht="78" customFormat="1" customHeight="1" s="87">
      <c r="B16" s="104" t="n">
        <v>4</v>
      </c>
      <c r="C16" s="104" t="n">
        <v>81</v>
      </c>
      <c r="D16" s="104" t="inlineStr">
        <is>
          <t>Omega 03</t>
        </is>
      </c>
      <c r="E16" s="104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F16" s="104" t="inlineStr">
        <is>
          <t>5407610000</t>
        </is>
      </c>
      <c r="G16" s="104" t="inlineStr">
        <is>
          <t>5407613000</t>
        </is>
      </c>
      <c r="H16" s="94" t="n">
        <v>3712.9</v>
      </c>
      <c r="I16" s="94" t="n">
        <v>1.44</v>
      </c>
      <c r="J16" s="221" t="n">
        <v>5346.576</v>
      </c>
      <c r="K16" s="94" t="n"/>
      <c r="L16" s="94" t="n"/>
      <c r="M16" s="222" t="n">
        <v>9.5</v>
      </c>
      <c r="N16" s="222" t="n">
        <v>35272.55</v>
      </c>
      <c r="P16" s="241" t="n"/>
      <c r="Q16" s="241">
        <f>M16*H16</f>
        <v/>
      </c>
      <c r="R16" s="241">
        <f>ROUND(Q16,2)</f>
        <v/>
      </c>
    </row>
    <row r="17" ht="78" customFormat="1" customHeight="1" s="87">
      <c r="B17" s="104" t="n">
        <v>5</v>
      </c>
      <c r="C17" s="104" t="n">
        <v>35</v>
      </c>
      <c r="D17" s="104" t="inlineStr">
        <is>
          <t>Omega 62</t>
        </is>
      </c>
      <c r="E17" s="104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F17" s="104" t="inlineStr">
        <is>
          <t>5407610000</t>
        </is>
      </c>
      <c r="G17" s="104" t="inlineStr">
        <is>
          <t>5407613000</t>
        </is>
      </c>
      <c r="H17" s="94" t="n">
        <v>1630</v>
      </c>
      <c r="I17" s="94" t="n">
        <v>1.44</v>
      </c>
      <c r="J17" s="221" t="n">
        <v>2347.2</v>
      </c>
      <c r="K17" s="94" t="n"/>
      <c r="L17" s="94" t="n"/>
      <c r="M17" s="222" t="n">
        <v>9.5</v>
      </c>
      <c r="N17" s="222" t="n">
        <v>15485</v>
      </c>
      <c r="P17" s="241" t="n"/>
      <c r="Q17" s="241" t="n"/>
      <c r="R17" s="241" t="n"/>
    </row>
    <row r="18" ht="80.25" customFormat="1" customHeight="1" s="87">
      <c r="B18" s="104" t="n">
        <v>6</v>
      </c>
      <c r="C18" s="104" t="n">
        <v>6</v>
      </c>
      <c r="D18" s="104" t="inlineStr">
        <is>
          <t>Solo 794</t>
        </is>
      </c>
      <c r="E18" s="104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F18" s="104" t="inlineStr">
        <is>
          <t>5407610000</t>
        </is>
      </c>
      <c r="G18" s="104" t="inlineStr">
        <is>
          <t>5407730000</t>
        </is>
      </c>
      <c r="H18" s="94" t="n">
        <v>302.9</v>
      </c>
      <c r="I18" s="94" t="n">
        <v>1.48</v>
      </c>
      <c r="J18" s="221" t="n">
        <v>448.292</v>
      </c>
      <c r="K18" s="94" t="n"/>
      <c r="L18" s="94" t="n"/>
      <c r="M18" s="222" t="n">
        <v>19</v>
      </c>
      <c r="N18" s="222" t="n">
        <v>5755.1</v>
      </c>
      <c r="P18" s="241" t="n"/>
      <c r="Q18" s="241" t="n"/>
      <c r="R18" s="241" t="n"/>
    </row>
    <row r="19" ht="78.75" customFormat="1" customHeight="1" s="87">
      <c r="B19" s="104" t="n">
        <v>7</v>
      </c>
      <c r="C19" s="104" t="n">
        <v>7</v>
      </c>
      <c r="D19" s="104" t="inlineStr">
        <is>
          <t>Solo 992</t>
        </is>
      </c>
      <c r="E19" s="104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F19" s="104" t="inlineStr">
        <is>
          <t>5407610000</t>
        </is>
      </c>
      <c r="G19" s="104" t="inlineStr">
        <is>
          <t>5407730000</t>
        </is>
      </c>
      <c r="H19" s="94" t="n">
        <v>344.1</v>
      </c>
      <c r="I19" s="94" t="n">
        <v>1.48</v>
      </c>
      <c r="J19" s="221" t="n">
        <v>509.268</v>
      </c>
      <c r="K19" s="94" t="n"/>
      <c r="L19" s="94" t="n"/>
      <c r="M19" s="222" t="n">
        <v>19</v>
      </c>
      <c r="N19" s="222" t="n">
        <v>6537.9</v>
      </c>
      <c r="P19" s="241" t="n"/>
      <c r="Q19" s="241">
        <f>M19*H19</f>
        <v/>
      </c>
      <c r="R19" s="241">
        <f>ROUND(Q19,2)</f>
        <v/>
      </c>
    </row>
    <row r="20" ht="50.25" customFormat="1" customHeight="1" s="87">
      <c r="B20" s="104" t="n">
        <v>8</v>
      </c>
      <c r="C20" s="104" t="n">
        <v>26</v>
      </c>
      <c r="D20" s="104" t="inlineStr">
        <is>
          <t>Danco 100</t>
        </is>
      </c>
      <c r="E20" s="104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F20" s="104" t="inlineStr">
        <is>
          <t>5801330000</t>
        </is>
      </c>
      <c r="G20" s="104" t="inlineStr">
        <is>
          <t>5407613000</t>
        </is>
      </c>
      <c r="H20" s="94" t="n">
        <v>1268.5</v>
      </c>
      <c r="I20" s="94" t="n">
        <v>1.42</v>
      </c>
      <c r="J20" s="221" t="n">
        <v>1801.27</v>
      </c>
      <c r="K20" s="94" t="n"/>
      <c r="L20" s="94" t="n"/>
      <c r="M20" s="222" t="n">
        <v>12.1</v>
      </c>
      <c r="N20" s="222" t="n">
        <v>15348.85</v>
      </c>
      <c r="P20" s="241" t="n"/>
      <c r="Q20" s="241" t="n"/>
      <c r="R20" s="241" t="n"/>
    </row>
    <row r="21" ht="50.25" customFormat="1" customHeight="1" s="87">
      <c r="B21" s="104" t="n">
        <v>9</v>
      </c>
      <c r="C21" s="104" t="n">
        <v>11</v>
      </c>
      <c r="D21" s="104" t="inlineStr">
        <is>
          <t>Danco 297</t>
        </is>
      </c>
      <c r="E21" s="104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F21" s="104" t="inlineStr">
        <is>
          <t>5801330000</t>
        </is>
      </c>
      <c r="G21" s="104" t="inlineStr">
        <is>
          <t>5407613000</t>
        </is>
      </c>
      <c r="H21" s="94" t="n">
        <v>535.7</v>
      </c>
      <c r="I21" s="94" t="n">
        <v>1.42</v>
      </c>
      <c r="J21" s="221" t="n">
        <v>760.694</v>
      </c>
      <c r="K21" s="94" t="n"/>
      <c r="L21" s="94" t="n"/>
      <c r="M21" s="222" t="n">
        <v>12.1</v>
      </c>
      <c r="N21" s="222" t="n">
        <v>6481.97</v>
      </c>
      <c r="P21" s="241" t="n"/>
      <c r="Q21" s="241" t="n"/>
      <c r="R21" s="241" t="n"/>
    </row>
    <row r="22" ht="50.25" customFormat="1" customHeight="1" s="87">
      <c r="B22" s="104" t="n">
        <v>10</v>
      </c>
      <c r="C22" s="104" t="n">
        <v>7</v>
      </c>
      <c r="D22" s="104" t="inlineStr">
        <is>
          <t>Oscar 978</t>
        </is>
      </c>
      <c r="E22" s="104" t="inlineStr">
        <is>
          <t>Upholstered furniture fabric made from chenille pile, such as chinillo, fine-weave weave, composition 100% polyester/Ткань мебельная обивочная из синели ворсовая, типа шинилл , мелкоузорчатого переплетения, состав 100% полиэстер</t>
        </is>
      </c>
      <c r="F22" s="104" t="inlineStr">
        <is>
          <t>5801360000</t>
        </is>
      </c>
      <c r="G22" s="104" t="inlineStr">
        <is>
          <t>5801360000</t>
        </is>
      </c>
      <c r="H22" s="94" t="n">
        <v>308.8</v>
      </c>
      <c r="I22" s="94" t="n">
        <v>1.43</v>
      </c>
      <c r="J22" s="221" t="n">
        <v>441.584</v>
      </c>
      <c r="K22" s="94" t="n"/>
      <c r="L22" s="94" t="n"/>
      <c r="M22" s="222" t="n">
        <v>22.9</v>
      </c>
      <c r="N22" s="222" t="n">
        <v>7071.52</v>
      </c>
      <c r="P22" s="241" t="n"/>
      <c r="Q22" s="241" t="n"/>
      <c r="R22" s="241" t="n"/>
    </row>
    <row r="23" ht="50.25" customFormat="1" customHeight="1" s="87">
      <c r="B23" s="104" t="n">
        <v>11</v>
      </c>
      <c r="C23" s="104" t="n">
        <v>28</v>
      </c>
      <c r="D23" s="104" t="inlineStr">
        <is>
          <t>Umbra 110</t>
        </is>
      </c>
      <c r="E23" s="104" t="inlineStr">
        <is>
          <t>Upholstery fabric, chenille,  made from: polyester - 100%. Ткань мебельная обивочная ворсовая из химических синельных нитей, состав: 100% полиэстер</t>
        </is>
      </c>
      <c r="F23" s="104" t="inlineStr">
        <is>
          <t>5801360000</t>
        </is>
      </c>
      <c r="G23" s="104" t="inlineStr">
        <is>
          <t>5801360000</t>
        </is>
      </c>
      <c r="H23" s="94" t="n">
        <v>1001.6</v>
      </c>
      <c r="I23" s="94" t="n">
        <v>1.42</v>
      </c>
      <c r="J23" s="221" t="n">
        <v>1422.272</v>
      </c>
      <c r="K23" s="94" t="n"/>
      <c r="L23" s="94" t="n"/>
      <c r="M23" s="222" t="n">
        <v>12.4</v>
      </c>
      <c r="N23" s="222" t="n">
        <v>12419.84</v>
      </c>
      <c r="P23" s="241" t="n"/>
      <c r="Q23" s="241" t="n"/>
      <c r="R23" s="241" t="n"/>
    </row>
    <row r="24" ht="78" customFormat="1" customHeight="1" s="87">
      <c r="B24" s="104" t="n">
        <v>12</v>
      </c>
      <c r="C24" s="104" t="n">
        <v>10</v>
      </c>
      <c r="D24" s="104" t="inlineStr">
        <is>
          <t>Lambre 402</t>
        </is>
      </c>
      <c r="E24" s="104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F24" s="104" t="inlineStr">
        <is>
          <t>6001920000</t>
        </is>
      </c>
      <c r="G24" s="104" t="inlineStr">
        <is>
          <t>6001920000</t>
        </is>
      </c>
      <c r="H24" s="94" t="n">
        <v>423.2</v>
      </c>
      <c r="I24" s="94" t="n">
        <v>1.42</v>
      </c>
      <c r="J24" s="221" t="n">
        <v>600.944</v>
      </c>
      <c r="K24" s="94" t="n"/>
      <c r="L24" s="94" t="n"/>
      <c r="M24" s="222" t="n">
        <v>24.6</v>
      </c>
      <c r="N24" s="222" t="n">
        <v>10410.72</v>
      </c>
      <c r="P24" s="241" t="n"/>
      <c r="Q24" s="241">
        <f>M24*H24</f>
        <v/>
      </c>
      <c r="R24" s="241">
        <f>ROUND(Q24,2)</f>
        <v/>
      </c>
    </row>
    <row r="25" ht="78" customFormat="1" customHeight="1" s="87">
      <c r="B25" s="104" t="n">
        <v>13</v>
      </c>
      <c r="C25" s="104" t="n">
        <v>17</v>
      </c>
      <c r="D25" s="104" t="inlineStr">
        <is>
          <t>Lambre 740</t>
        </is>
      </c>
      <c r="E25" s="104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F25" s="104" t="inlineStr">
        <is>
          <t>6001920000</t>
        </is>
      </c>
      <c r="G25" s="104" t="inlineStr">
        <is>
          <t>6001920000</t>
        </is>
      </c>
      <c r="H25" s="94" t="n">
        <v>722.5</v>
      </c>
      <c r="I25" s="94" t="n">
        <v>1.42</v>
      </c>
      <c r="J25" s="221" t="n">
        <v>1025.95</v>
      </c>
      <c r="K25" s="94" t="n"/>
      <c r="L25" s="94" t="n"/>
      <c r="M25" s="222" t="n">
        <v>24.6</v>
      </c>
      <c r="N25" s="222" t="n">
        <v>17773.5</v>
      </c>
      <c r="P25" s="241" t="n"/>
      <c r="Q25" s="241" t="n"/>
      <c r="R25" s="241" t="n"/>
    </row>
    <row r="26" ht="50.2" customFormat="1" customHeight="1" s="87">
      <c r="B26" s="6" t="n"/>
      <c r="C26" s="182" t="n"/>
      <c r="F26" s="40" t="n"/>
      <c r="G26" s="40" t="n"/>
      <c r="H26" s="94" t="n"/>
      <c r="I26" s="94" t="n"/>
      <c r="J26" s="221" t="n"/>
      <c r="K26" s="94" t="n"/>
      <c r="L26" s="94" t="n"/>
      <c r="M26" s="222" t="n"/>
      <c r="N26" s="222" t="n"/>
      <c r="P26" s="241" t="n"/>
      <c r="Q26" s="241" t="n"/>
      <c r="R26" s="241" t="n"/>
    </row>
    <row r="27" ht="17.25" customHeight="1" s="11">
      <c r="C27" s="184" t="n"/>
      <c r="F27" s="42" t="n"/>
      <c r="G27" s="42" t="n"/>
      <c r="H27" s="6" t="n"/>
      <c r="I27" s="183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  <c r="CH27" s="7" t="n"/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7" t="n"/>
      <c r="CU27" s="7" t="n"/>
      <c r="CV27" s="7" t="n"/>
      <c r="CW27" s="7" t="n"/>
      <c r="CX27" s="7" t="n"/>
      <c r="CY27" s="7" t="n"/>
      <c r="CZ27" s="7" t="n"/>
      <c r="DA27" s="7" t="n"/>
      <c r="DB27" s="7" t="n"/>
      <c r="DC27" s="7" t="n"/>
      <c r="DD27" s="7" t="n"/>
      <c r="DE27" s="7" t="n"/>
      <c r="DF27" s="7" t="n"/>
      <c r="DG27" s="7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7" t="n"/>
      <c r="DT27" s="7" t="n"/>
      <c r="DU27" s="7" t="n"/>
      <c r="DV27" s="7" t="n"/>
      <c r="DW27" s="7" t="n"/>
      <c r="DX27" s="7" t="n"/>
      <c r="DY27" s="7" t="n"/>
      <c r="DZ27" s="7" t="n"/>
      <c r="EA27" s="7" t="n"/>
      <c r="EB27" s="7" t="n"/>
      <c r="EC27" s="7" t="n"/>
      <c r="ED27" s="7" t="n"/>
      <c r="EE27" s="7" t="n"/>
      <c r="EF27" s="7" t="n"/>
      <c r="EG27" s="7" t="n"/>
      <c r="EH27" s="7" t="n"/>
      <c r="EI27" s="7" t="n"/>
      <c r="EJ27" s="7" t="n"/>
      <c r="EK27" s="7" t="n"/>
      <c r="EL27" s="6" t="n"/>
      <c r="EM27" s="6" t="n"/>
      <c r="EN27" s="6" t="n"/>
      <c r="EO27" s="6" t="n"/>
      <c r="EP27" s="6" t="n"/>
      <c r="EQ27" s="6" t="n"/>
      <c r="ER27" s="6" t="n"/>
      <c r="ES27" s="6" t="n"/>
      <c r="ET27" s="6" t="n"/>
      <c r="EU27" s="6" t="n"/>
      <c r="EV27" s="6" t="n"/>
      <c r="EW27" s="6" t="n"/>
      <c r="EX27" s="6" t="n"/>
      <c r="EY27" s="6" t="n"/>
      <c r="EZ27" s="6" t="n"/>
      <c r="FA27" s="6" t="n"/>
      <c r="FB27" s="6" t="n"/>
      <c r="FC27" s="6" t="n"/>
      <c r="FD27" s="6" t="n"/>
      <c r="FE27" s="6" t="n"/>
      <c r="FF27" s="6" t="n"/>
      <c r="FG27" s="6" t="n"/>
      <c r="FH27" s="6" t="n"/>
      <c r="FI27" s="6" t="n"/>
      <c r="FJ27" s="6" t="n"/>
      <c r="FK27" s="6" t="n"/>
      <c r="FL27" s="6" t="n"/>
      <c r="FM27" s="6" t="n"/>
      <c r="FN27" s="6" t="n"/>
      <c r="FO27" s="6" t="n"/>
      <c r="FP27" s="6" t="n"/>
      <c r="FQ27" s="6" t="n"/>
      <c r="FR27" s="6" t="n"/>
      <c r="FS27" s="6" t="n"/>
      <c r="FT27" s="6" t="n"/>
      <c r="FU27" s="6" t="n"/>
      <c r="FV27" s="6" t="n"/>
      <c r="FW27" s="6" t="n"/>
      <c r="FX27" s="6" t="n"/>
      <c r="FY27" s="6" t="n"/>
      <c r="FZ27" s="6" t="n"/>
      <c r="GA27" s="6" t="n"/>
      <c r="GB27" s="6" t="n"/>
      <c r="GC27" s="6" t="n"/>
      <c r="GD27" s="6" t="n"/>
      <c r="GE27" s="6" t="n"/>
      <c r="GF27" s="6" t="n"/>
      <c r="GG27" s="6" t="n"/>
      <c r="GH27" s="6" t="n"/>
      <c r="GI27" s="6" t="n"/>
      <c r="GJ27" s="6" t="n"/>
      <c r="GK27" s="6" t="n"/>
      <c r="GL27" s="6" t="n"/>
      <c r="GM27" s="6" t="n"/>
      <c r="GN27" s="6" t="n"/>
      <c r="GO27" s="6" t="n"/>
      <c r="GP27" s="6" t="n"/>
      <c r="GQ27" s="6" t="n"/>
      <c r="GR27" s="6" t="n"/>
      <c r="GS27" s="6" t="n"/>
      <c r="GT27" s="6" t="n"/>
      <c r="GU27" s="6" t="n"/>
    </row>
    <row r="28" ht="25.5" customHeight="1" s="11">
      <c r="C28" s="184" t="n"/>
      <c r="F28" s="42" t="n"/>
      <c r="G28" s="42" t="n"/>
      <c r="H28" s="6" t="n"/>
      <c r="I28" s="184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/>
      <c r="CG28" s="7" t="n"/>
      <c r="CH28" s="7" t="n"/>
      <c r="CI28" s="7" t="n"/>
      <c r="CJ28" s="7" t="n"/>
      <c r="CK28" s="7" t="n"/>
      <c r="CL28" s="7" t="n"/>
      <c r="CM28" s="7" t="n"/>
      <c r="CN28" s="7" t="n"/>
      <c r="CO28" s="7" t="n"/>
      <c r="CP28" s="7" t="n"/>
      <c r="CQ28" s="7" t="n"/>
      <c r="CR28" s="7" t="n"/>
      <c r="CS28" s="7" t="n"/>
      <c r="CT28" s="7" t="n"/>
      <c r="CU28" s="7" t="n"/>
      <c r="CV28" s="7" t="n"/>
      <c r="CW28" s="7" t="n"/>
      <c r="CX28" s="7" t="n"/>
      <c r="CY28" s="7" t="n"/>
      <c r="CZ28" s="7" t="n"/>
      <c r="DA28" s="7" t="n"/>
      <c r="DB28" s="7" t="n"/>
      <c r="DC28" s="7" t="n"/>
      <c r="DD28" s="7" t="n"/>
      <c r="DE28" s="7" t="n"/>
      <c r="DF28" s="7" t="n"/>
      <c r="DG28" s="7" t="n"/>
      <c r="DH28" s="7" t="n"/>
      <c r="DI28" s="7" t="n"/>
      <c r="DJ28" s="7" t="n"/>
      <c r="DK28" s="7" t="n"/>
      <c r="DL28" s="7" t="n"/>
      <c r="DM28" s="7" t="n"/>
      <c r="DN28" s="7" t="n"/>
      <c r="DO28" s="7" t="n"/>
      <c r="DP28" s="7" t="n"/>
      <c r="DQ28" s="7" t="n"/>
      <c r="DR28" s="7" t="n"/>
      <c r="DS28" s="7" t="n"/>
      <c r="DT28" s="7" t="n"/>
      <c r="DU28" s="7" t="n"/>
      <c r="DV28" s="7" t="n"/>
      <c r="DW28" s="7" t="n"/>
      <c r="DX28" s="7" t="n"/>
      <c r="DY28" s="7" t="n"/>
      <c r="DZ28" s="7" t="n"/>
      <c r="EA28" s="7" t="n"/>
      <c r="EB28" s="7" t="n"/>
      <c r="EC28" s="7" t="n"/>
      <c r="ED28" s="7" t="n"/>
      <c r="EE28" s="7" t="n"/>
      <c r="EF28" s="7" t="n"/>
      <c r="EG28" s="7" t="n"/>
      <c r="EH28" s="7" t="n"/>
      <c r="EI28" s="7" t="n"/>
      <c r="EJ28" s="7" t="n"/>
      <c r="EK28" s="7" t="n"/>
      <c r="EL28" s="6" t="n"/>
      <c r="EM28" s="6" t="n"/>
      <c r="EN28" s="6" t="n"/>
      <c r="EO28" s="6" t="n"/>
      <c r="EP28" s="6" t="n"/>
      <c r="EQ28" s="6" t="n"/>
      <c r="ER28" s="6" t="n"/>
      <c r="ES28" s="6" t="n"/>
      <c r="ET28" s="6" t="n"/>
      <c r="EU28" s="6" t="n"/>
      <c r="EV28" s="6" t="n"/>
      <c r="EW28" s="6" t="n"/>
      <c r="EX28" s="6" t="n"/>
      <c r="EY28" s="6" t="n"/>
      <c r="EZ28" s="6" t="n"/>
      <c r="FA28" s="6" t="n"/>
      <c r="FB28" s="6" t="n"/>
      <c r="FC28" s="6" t="n"/>
      <c r="FD28" s="6" t="n"/>
      <c r="FE28" s="6" t="n"/>
      <c r="FF28" s="6" t="n"/>
      <c r="FG28" s="6" t="n"/>
      <c r="FH28" s="6" t="n"/>
      <c r="FI28" s="6" t="n"/>
      <c r="FJ28" s="6" t="n"/>
      <c r="FK28" s="6" t="n"/>
      <c r="FL28" s="6" t="n"/>
      <c r="FM28" s="6" t="n"/>
      <c r="FN28" s="6" t="n"/>
      <c r="FO28" s="6" t="n"/>
      <c r="FP28" s="6" t="n"/>
      <c r="FQ28" s="6" t="n"/>
      <c r="FR28" s="6" t="n"/>
      <c r="FS28" s="6" t="n"/>
      <c r="FT28" s="6" t="n"/>
      <c r="FU28" s="6" t="n"/>
      <c r="FV28" s="6" t="n"/>
      <c r="FW28" s="6" t="n"/>
      <c r="FX28" s="6" t="n"/>
      <c r="FY28" s="6" t="n"/>
      <c r="FZ28" s="6" t="n"/>
      <c r="GA28" s="6" t="n"/>
      <c r="GB28" s="6" t="n"/>
      <c r="GC28" s="6" t="n"/>
      <c r="GD28" s="6" t="n"/>
      <c r="GE28" s="6" t="n"/>
      <c r="GF28" s="6" t="n"/>
      <c r="GG28" s="6" t="n"/>
      <c r="GH28" s="6" t="n"/>
      <c r="GI28" s="6" t="n"/>
      <c r="GJ28" s="6" t="n"/>
      <c r="GK28" s="6" t="n"/>
      <c r="GL28" s="6" t="n"/>
      <c r="GM28" s="6" t="n"/>
      <c r="GN28" s="6" t="n"/>
      <c r="GO28" s="6" t="n"/>
      <c r="GP28" s="6" t="n"/>
      <c r="GQ28" s="6" t="n"/>
      <c r="GR28" s="6" t="n"/>
      <c r="GS28" s="6" t="n"/>
      <c r="GT28" s="6" t="n"/>
      <c r="GU28" s="6" t="n"/>
    </row>
    <row r="29" ht="31.5" customHeight="1" s="11">
      <c r="C29" s="184" t="n"/>
      <c r="F29" s="42" t="n"/>
      <c r="G29" s="42" t="n"/>
      <c r="H29" s="6" t="n"/>
      <c r="I29" s="184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/>
      <c r="DV29" s="7" t="n"/>
      <c r="DW29" s="7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7" t="n"/>
      <c r="EK29" s="7" t="n"/>
      <c r="EL29" s="6" t="n"/>
      <c r="EM29" s="6" t="n"/>
      <c r="EN29" s="6" t="n"/>
      <c r="EO29" s="6" t="n"/>
      <c r="EP29" s="6" t="n"/>
      <c r="EQ29" s="6" t="n"/>
      <c r="ER29" s="6" t="n"/>
      <c r="ES29" s="6" t="n"/>
      <c r="ET29" s="6" t="n"/>
      <c r="EU29" s="6" t="n"/>
      <c r="EV29" s="6" t="n"/>
      <c r="EW29" s="6" t="n"/>
      <c r="EX29" s="6" t="n"/>
      <c r="EY29" s="6" t="n"/>
      <c r="EZ29" s="6" t="n"/>
      <c r="FA29" s="6" t="n"/>
      <c r="FB29" s="6" t="n"/>
      <c r="FC29" s="6" t="n"/>
      <c r="FD29" s="6" t="n"/>
      <c r="FE29" s="6" t="n"/>
      <c r="FF29" s="6" t="n"/>
      <c r="FG29" s="6" t="n"/>
      <c r="FH29" s="6" t="n"/>
      <c r="FI29" s="6" t="n"/>
      <c r="FJ29" s="6" t="n"/>
      <c r="FK29" s="6" t="n"/>
      <c r="FL29" s="6" t="n"/>
      <c r="FM29" s="6" t="n"/>
      <c r="FN29" s="6" t="n"/>
      <c r="FO29" s="6" t="n"/>
      <c r="FP29" s="6" t="n"/>
      <c r="FQ29" s="6" t="n"/>
      <c r="FR29" s="6" t="n"/>
      <c r="FS29" s="6" t="n"/>
      <c r="FT29" s="6" t="n"/>
      <c r="FU29" s="6" t="n"/>
      <c r="FV29" s="6" t="n"/>
      <c r="FW29" s="6" t="n"/>
      <c r="FX29" s="6" t="n"/>
      <c r="FY29" s="6" t="n"/>
      <c r="FZ29" s="6" t="n"/>
      <c r="GA29" s="6" t="n"/>
      <c r="GB29" s="6" t="n"/>
      <c r="GC29" s="6" t="n"/>
      <c r="GD29" s="6" t="n"/>
      <c r="GE29" s="6" t="n"/>
      <c r="GF29" s="6" t="n"/>
      <c r="GG29" s="6" t="n"/>
      <c r="GH29" s="6" t="n"/>
      <c r="GI29" s="6" t="n"/>
      <c r="GJ29" s="6" t="n"/>
      <c r="GK29" s="6" t="n"/>
      <c r="GL29" s="6" t="n"/>
      <c r="GM29" s="6" t="n"/>
      <c r="GN29" s="6" t="n"/>
      <c r="GO29" s="6" t="n"/>
      <c r="GP29" s="6" t="n"/>
      <c r="GQ29" s="6" t="n"/>
      <c r="GR29" s="6" t="n"/>
      <c r="GS29" s="6" t="n"/>
      <c r="GT29" s="6" t="n"/>
      <c r="GU29" s="6" t="n"/>
    </row>
    <row r="30" ht="20.25" customHeight="1" s="11">
      <c r="C30" s="185" t="n"/>
      <c r="F30" s="38" t="n"/>
      <c r="G30" s="38" t="n"/>
      <c r="H30" s="6" t="n"/>
      <c r="I30" s="184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7" t="n"/>
      <c r="DI30" s="7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7" t="n"/>
      <c r="DW30" s="7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7" t="n"/>
      <c r="EK30" s="7" t="n"/>
      <c r="EL30" s="6" t="n"/>
      <c r="EM30" s="6" t="n"/>
      <c r="EN30" s="6" t="n"/>
      <c r="EO30" s="6" t="n"/>
      <c r="EP30" s="6" t="n"/>
      <c r="EQ30" s="6" t="n"/>
      <c r="ER30" s="6" t="n"/>
      <c r="ES30" s="6" t="n"/>
      <c r="ET30" s="6" t="n"/>
      <c r="EU30" s="6" t="n"/>
      <c r="EV30" s="6" t="n"/>
      <c r="EW30" s="6" t="n"/>
      <c r="EX30" s="6" t="n"/>
      <c r="EY30" s="6" t="n"/>
      <c r="EZ30" s="6" t="n"/>
      <c r="FA30" s="6" t="n"/>
      <c r="FB30" s="6" t="n"/>
      <c r="FC30" s="6" t="n"/>
      <c r="FD30" s="6" t="n"/>
      <c r="FE30" s="6" t="n"/>
      <c r="FF30" s="6" t="n"/>
      <c r="FG30" s="6" t="n"/>
      <c r="FH30" s="6" t="n"/>
      <c r="FI30" s="6" t="n"/>
      <c r="FJ30" s="6" t="n"/>
      <c r="FK30" s="6" t="n"/>
      <c r="FL30" s="6" t="n"/>
      <c r="FM30" s="6" t="n"/>
      <c r="FN30" s="6" t="n"/>
      <c r="FO30" s="6" t="n"/>
      <c r="FP30" s="6" t="n"/>
      <c r="FQ30" s="6" t="n"/>
      <c r="FR30" s="6" t="n"/>
      <c r="FS30" s="6" t="n"/>
      <c r="FT30" s="6" t="n"/>
      <c r="FU30" s="6" t="n"/>
      <c r="FV30" s="6" t="n"/>
      <c r="FW30" s="6" t="n"/>
      <c r="FX30" s="6" t="n"/>
      <c r="FY30" s="6" t="n"/>
      <c r="FZ30" s="6" t="n"/>
      <c r="GA30" s="6" t="n"/>
      <c r="GB30" s="6" t="n"/>
      <c r="GC30" s="6" t="n"/>
      <c r="GD30" s="6" t="n"/>
      <c r="GE30" s="6" t="n"/>
      <c r="GF30" s="6" t="n"/>
      <c r="GG30" s="6" t="n"/>
      <c r="GH30" s="6" t="n"/>
      <c r="GI30" s="6" t="n"/>
      <c r="GJ30" s="6" t="n"/>
      <c r="GK30" s="6" t="n"/>
      <c r="GL30" s="6" t="n"/>
      <c r="GM30" s="6" t="n"/>
      <c r="GN30" s="6" t="n"/>
      <c r="GO30" s="6" t="n"/>
      <c r="GP30" s="6" t="n"/>
      <c r="GQ30" s="6" t="n"/>
      <c r="GR30" s="6" t="n"/>
      <c r="GS30" s="6" t="n"/>
      <c r="GT30" s="6" t="n"/>
      <c r="GU30" s="6" t="n"/>
    </row>
    <row r="31" ht="17.25" customHeight="1" s="11">
      <c r="C31" s="186" t="n"/>
      <c r="F31" s="43" t="n"/>
      <c r="G31" s="43" t="n"/>
      <c r="H31" s="6" t="n"/>
      <c r="I31" s="184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7" t="n"/>
      <c r="CU31" s="7" t="n"/>
      <c r="CV31" s="7" t="n"/>
      <c r="CW31" s="7" t="n"/>
      <c r="CX31" s="7" t="n"/>
      <c r="CY31" s="7" t="n"/>
      <c r="CZ31" s="7" t="n"/>
      <c r="DA31" s="7" t="n"/>
      <c r="DB31" s="7" t="n"/>
      <c r="DC31" s="7" t="n"/>
      <c r="DD31" s="7" t="n"/>
      <c r="DE31" s="7" t="n"/>
      <c r="DF31" s="7" t="n"/>
      <c r="DG31" s="7" t="n"/>
      <c r="DH31" s="7" t="n"/>
      <c r="DI31" s="7" t="n"/>
      <c r="DJ31" s="7" t="n"/>
      <c r="DK31" s="7" t="n"/>
      <c r="DL31" s="7" t="n"/>
      <c r="DM31" s="7" t="n"/>
      <c r="DN31" s="7" t="n"/>
      <c r="DO31" s="7" t="n"/>
      <c r="DP31" s="7" t="n"/>
      <c r="DQ31" s="7" t="n"/>
      <c r="DR31" s="7" t="n"/>
      <c r="DS31" s="7" t="n"/>
      <c r="DT31" s="7" t="n"/>
      <c r="DU31" s="7" t="n"/>
      <c r="DV31" s="7" t="n"/>
      <c r="DW31" s="7" t="n"/>
      <c r="DX31" s="7" t="n"/>
      <c r="DY31" s="7" t="n"/>
      <c r="DZ31" s="7" t="n"/>
      <c r="EA31" s="7" t="n"/>
      <c r="EB31" s="7" t="n"/>
      <c r="EC31" s="7" t="n"/>
      <c r="ED31" s="7" t="n"/>
      <c r="EE31" s="7" t="n"/>
      <c r="EF31" s="7" t="n"/>
      <c r="EG31" s="7" t="n"/>
      <c r="EH31" s="7" t="n"/>
      <c r="EI31" s="7" t="n"/>
      <c r="EJ31" s="7" t="n"/>
      <c r="EK31" s="7" t="n"/>
      <c r="EL31" s="6" t="n"/>
      <c r="EM31" s="6" t="n"/>
      <c r="EN31" s="6" t="n"/>
      <c r="EO31" s="6" t="n"/>
      <c r="EP31" s="6" t="n"/>
      <c r="EQ31" s="6" t="n"/>
      <c r="ER31" s="6" t="n"/>
      <c r="ES31" s="6" t="n"/>
      <c r="ET31" s="6" t="n"/>
      <c r="EU31" s="6" t="n"/>
      <c r="EV31" s="6" t="n"/>
      <c r="EW31" s="6" t="n"/>
      <c r="EX31" s="6" t="n"/>
      <c r="EY31" s="6" t="n"/>
      <c r="EZ31" s="6" t="n"/>
      <c r="FA31" s="6" t="n"/>
      <c r="FB31" s="6" t="n"/>
      <c r="FC31" s="6" t="n"/>
      <c r="FD31" s="6" t="n"/>
      <c r="FE31" s="6" t="n"/>
      <c r="FF31" s="6" t="n"/>
      <c r="FG31" s="6" t="n"/>
      <c r="FH31" s="6" t="n"/>
      <c r="FI31" s="6" t="n"/>
      <c r="FJ31" s="6" t="n"/>
      <c r="FK31" s="6" t="n"/>
      <c r="FL31" s="6" t="n"/>
      <c r="FM31" s="6" t="n"/>
      <c r="FN31" s="6" t="n"/>
      <c r="FO31" s="6" t="n"/>
      <c r="FP31" s="6" t="n"/>
      <c r="FQ31" s="6" t="n"/>
      <c r="FR31" s="6" t="n"/>
      <c r="FS31" s="6" t="n"/>
      <c r="FT31" s="6" t="n"/>
      <c r="FU31" s="6" t="n"/>
      <c r="FV31" s="6" t="n"/>
      <c r="FW31" s="6" t="n"/>
      <c r="FX31" s="6" t="n"/>
      <c r="FY31" s="6" t="n"/>
      <c r="FZ31" s="6" t="n"/>
      <c r="GA31" s="6" t="n"/>
      <c r="GB31" s="6" t="n"/>
      <c r="GC31" s="6" t="n"/>
      <c r="GD31" s="6" t="n"/>
      <c r="GE31" s="6" t="n"/>
      <c r="GF31" s="6" t="n"/>
      <c r="GG31" s="6" t="n"/>
      <c r="GH31" s="6" t="n"/>
      <c r="GI31" s="6" t="n"/>
      <c r="GJ31" s="6" t="n"/>
      <c r="GK31" s="6" t="n"/>
      <c r="GL31" s="6" t="n"/>
      <c r="GM31" s="6" t="n"/>
      <c r="GN31" s="6" t="n"/>
      <c r="GO31" s="6" t="n"/>
      <c r="GP31" s="6" t="n"/>
      <c r="GQ31" s="6" t="n"/>
      <c r="GR31" s="6" t="n"/>
      <c r="GS31" s="6" t="n"/>
      <c r="GT31" s="6" t="n"/>
      <c r="GU31" s="6" t="n"/>
    </row>
    <row r="32" ht="17.25" customHeight="1" s="11">
      <c r="C32" s="185" t="n"/>
      <c r="F32" s="42" t="n"/>
      <c r="G32" s="42" t="n"/>
      <c r="H32" s="6" t="n"/>
      <c r="I32" s="187" t="n"/>
      <c r="M32" s="58" t="n"/>
      <c r="N32" s="23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6" t="n"/>
      <c r="EM32" s="6" t="n"/>
      <c r="EN32" s="6" t="n"/>
      <c r="EO32" s="6" t="n"/>
      <c r="EP32" s="6" t="n"/>
      <c r="EQ32" s="6" t="n"/>
      <c r="ER32" s="6" t="n"/>
      <c r="ES32" s="6" t="n"/>
      <c r="ET32" s="6" t="n"/>
      <c r="EU32" s="6" t="n"/>
      <c r="EV32" s="6" t="n"/>
      <c r="EW32" s="6" t="n"/>
      <c r="EX32" s="6" t="n"/>
      <c r="EY32" s="6" t="n"/>
      <c r="EZ32" s="6" t="n"/>
      <c r="FA32" s="6" t="n"/>
      <c r="FB32" s="6" t="n"/>
      <c r="FC32" s="6" t="n"/>
      <c r="FD32" s="6" t="n"/>
      <c r="FE32" s="6" t="n"/>
      <c r="FF32" s="6" t="n"/>
      <c r="FG32" s="6" t="n"/>
      <c r="FH32" s="6" t="n"/>
      <c r="FI32" s="6" t="n"/>
      <c r="FJ32" s="6" t="n"/>
      <c r="FK32" s="6" t="n"/>
      <c r="FL32" s="6" t="n"/>
      <c r="FM32" s="6" t="n"/>
      <c r="FN32" s="6" t="n"/>
      <c r="FO32" s="6" t="n"/>
      <c r="FP32" s="6" t="n"/>
      <c r="FQ32" s="6" t="n"/>
      <c r="FR32" s="6" t="n"/>
      <c r="FS32" s="6" t="n"/>
      <c r="FT32" s="6" t="n"/>
      <c r="FU32" s="6" t="n"/>
      <c r="FV32" s="6" t="n"/>
      <c r="FW32" s="6" t="n"/>
      <c r="FX32" s="6" t="n"/>
      <c r="FY32" s="6" t="n"/>
      <c r="FZ32" s="6" t="n"/>
      <c r="GA32" s="6" t="n"/>
      <c r="GB32" s="6" t="n"/>
      <c r="GC32" s="6" t="n"/>
      <c r="GD32" s="6" t="n"/>
      <c r="GE32" s="6" t="n"/>
      <c r="GF32" s="6" t="n"/>
      <c r="GG32" s="6" t="n"/>
      <c r="GH32" s="6" t="n"/>
      <c r="GI32" s="6" t="n"/>
      <c r="GJ32" s="6" t="n"/>
      <c r="GK32" s="6" t="n"/>
      <c r="GL32" s="6" t="n"/>
      <c r="GM32" s="6" t="n"/>
      <c r="GN32" s="6" t="n"/>
      <c r="GO32" s="6" t="n"/>
      <c r="GP32" s="6" t="n"/>
      <c r="GQ32" s="6" t="n"/>
      <c r="GR32" s="6" t="n"/>
      <c r="GS32" s="6" t="n"/>
      <c r="GT32" s="6" t="n"/>
      <c r="GU32" s="6" t="n"/>
    </row>
    <row r="33" ht="17.25" customHeight="1" s="11">
      <c r="C33" s="46" t="n"/>
      <c r="D33" s="46" t="n"/>
      <c r="E33" s="54" t="n"/>
      <c r="F33" s="38" t="n"/>
      <c r="G33" s="38" t="n"/>
      <c r="H33" s="6" t="n"/>
      <c r="I33" s="184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/>
      <c r="CY33" s="7" t="n"/>
      <c r="CZ33" s="7" t="n"/>
      <c r="DA33" s="7" t="n"/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/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6" t="n"/>
      <c r="EM33" s="6" t="n"/>
      <c r="EN33" s="6" t="n"/>
      <c r="EO33" s="6" t="n"/>
      <c r="EP33" s="6" t="n"/>
      <c r="EQ33" s="6" t="n"/>
      <c r="ER33" s="6" t="n"/>
      <c r="ES33" s="6" t="n"/>
      <c r="ET33" s="6" t="n"/>
      <c r="EU33" s="6" t="n"/>
      <c r="EV33" s="6" t="n"/>
      <c r="EW33" s="6" t="n"/>
      <c r="EX33" s="6" t="n"/>
      <c r="EY33" s="6" t="n"/>
      <c r="EZ33" s="6" t="n"/>
      <c r="FA33" s="6" t="n"/>
      <c r="FB33" s="6" t="n"/>
      <c r="FC33" s="6" t="n"/>
      <c r="FD33" s="6" t="n"/>
      <c r="FE33" s="6" t="n"/>
      <c r="FF33" s="6" t="n"/>
      <c r="FG33" s="6" t="n"/>
      <c r="FH33" s="6" t="n"/>
      <c r="FI33" s="6" t="n"/>
      <c r="FJ33" s="6" t="n"/>
      <c r="FK33" s="6" t="n"/>
      <c r="FL33" s="6" t="n"/>
      <c r="FM33" s="6" t="n"/>
      <c r="FN33" s="6" t="n"/>
      <c r="FO33" s="6" t="n"/>
      <c r="FP33" s="6" t="n"/>
      <c r="FQ33" s="6" t="n"/>
      <c r="FR33" s="6" t="n"/>
      <c r="FS33" s="6" t="n"/>
      <c r="FT33" s="6" t="n"/>
      <c r="FU33" s="6" t="n"/>
      <c r="FV33" s="6" t="n"/>
      <c r="FW33" s="6" t="n"/>
      <c r="FX33" s="6" t="n"/>
      <c r="FY33" s="6" t="n"/>
      <c r="FZ33" s="6" t="n"/>
      <c r="GA33" s="6" t="n"/>
      <c r="GB33" s="6" t="n"/>
      <c r="GC33" s="6" t="n"/>
      <c r="GD33" s="6" t="n"/>
      <c r="GE33" s="6" t="n"/>
      <c r="GF33" s="6" t="n"/>
      <c r="GG33" s="6" t="n"/>
      <c r="GH33" s="6" t="n"/>
      <c r="GI33" s="6" t="n"/>
      <c r="GJ33" s="6" t="n"/>
      <c r="GK33" s="6" t="n"/>
      <c r="GL33" s="6" t="n"/>
      <c r="GM33" s="6" t="n"/>
      <c r="GN33" s="6" t="n"/>
      <c r="GO33" s="6" t="n"/>
      <c r="GP33" s="6" t="n"/>
      <c r="GQ33" s="6" t="n"/>
      <c r="GR33" s="6" t="n"/>
      <c r="GS33" s="6" t="n"/>
      <c r="GT33" s="6" t="n"/>
      <c r="GU33" s="6" t="n"/>
    </row>
    <row r="34" ht="36.75" customHeight="1" s="11">
      <c r="C34" s="184" t="n"/>
      <c r="F34" s="42" t="n"/>
      <c r="G34" s="42" t="n"/>
      <c r="H34" s="236" t="n"/>
      <c r="I34" s="184" t="n"/>
      <c r="J34" s="237" t="n"/>
      <c r="K34" s="58" t="n"/>
      <c r="L34" s="238" t="n"/>
      <c r="M34" s="58" t="n"/>
      <c r="N34" s="23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  <c r="DZ34" s="7" t="n"/>
      <c r="EA34" s="7" t="n"/>
      <c r="EB34" s="7" t="n"/>
      <c r="EC34" s="7" t="n"/>
      <c r="ED34" s="7" t="n"/>
      <c r="EE34" s="7" t="n"/>
      <c r="EF34" s="7" t="n"/>
      <c r="EG34" s="7" t="n"/>
      <c r="EH34" s="7" t="n"/>
      <c r="EI34" s="7" t="n"/>
      <c r="EJ34" s="7" t="n"/>
      <c r="EK34" s="7" t="n"/>
      <c r="EL34" s="6" t="n"/>
      <c r="EM34" s="6" t="n"/>
      <c r="EN34" s="6" t="n"/>
      <c r="EO34" s="6" t="n"/>
      <c r="EP34" s="6" t="n"/>
      <c r="EQ34" s="6" t="n"/>
      <c r="ER34" s="6" t="n"/>
      <c r="ES34" s="6" t="n"/>
      <c r="ET34" s="6" t="n"/>
      <c r="EU34" s="6" t="n"/>
      <c r="EV34" s="6" t="n"/>
      <c r="EW34" s="6" t="n"/>
      <c r="EX34" s="6" t="n"/>
      <c r="EY34" s="6" t="n"/>
      <c r="EZ34" s="6" t="n"/>
      <c r="FA34" s="6" t="n"/>
      <c r="FB34" s="6" t="n"/>
      <c r="FC34" s="6" t="n"/>
      <c r="FD34" s="6" t="n"/>
      <c r="FE34" s="6" t="n"/>
      <c r="FF34" s="6" t="n"/>
      <c r="FG34" s="6" t="n"/>
      <c r="FH34" s="6" t="n"/>
      <c r="FI34" s="6" t="n"/>
      <c r="FJ34" s="6" t="n"/>
      <c r="FK34" s="6" t="n"/>
      <c r="FL34" s="6" t="n"/>
      <c r="FM34" s="6" t="n"/>
      <c r="FN34" s="6" t="n"/>
      <c r="FO34" s="6" t="n"/>
      <c r="FP34" s="6" t="n"/>
      <c r="FQ34" s="6" t="n"/>
      <c r="FR34" s="6" t="n"/>
      <c r="FS34" s="6" t="n"/>
      <c r="FT34" s="6" t="n"/>
      <c r="FU34" s="6" t="n"/>
      <c r="FV34" s="6" t="n"/>
      <c r="FW34" s="6" t="n"/>
      <c r="FX34" s="6" t="n"/>
      <c r="FY34" s="6" t="n"/>
      <c r="FZ34" s="6" t="n"/>
      <c r="GA34" s="6" t="n"/>
      <c r="GB34" s="6" t="n"/>
      <c r="GC34" s="6" t="n"/>
      <c r="GD34" s="6" t="n"/>
      <c r="GE34" s="6" t="n"/>
      <c r="GF34" s="6" t="n"/>
      <c r="GG34" s="6" t="n"/>
      <c r="GH34" s="6" t="n"/>
      <c r="GI34" s="6" t="n"/>
      <c r="GJ34" s="6" t="n"/>
      <c r="GK34" s="6" t="n"/>
      <c r="GL34" s="6" t="n"/>
      <c r="GM34" s="6" t="n"/>
      <c r="GN34" s="6" t="n"/>
      <c r="GO34" s="6" t="n"/>
      <c r="GP34" s="6" t="n"/>
      <c r="GQ34" s="6" t="n"/>
      <c r="GR34" s="6" t="n"/>
      <c r="GS34" s="6" t="n"/>
      <c r="GT34" s="6" t="n"/>
      <c r="GU34" s="6" t="n"/>
    </row>
    <row r="35" ht="17.25" customHeight="1" s="11">
      <c r="C35" s="46" t="n"/>
      <c r="D35" s="46" t="n"/>
      <c r="E35" s="54" t="n"/>
      <c r="F35" s="38" t="n"/>
      <c r="G35" s="38" t="n"/>
      <c r="H35" s="236" t="n"/>
      <c r="I35" s="184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6" t="n"/>
      <c r="EM35" s="6" t="n"/>
      <c r="EN35" s="6" t="n"/>
      <c r="EO35" s="6" t="n"/>
      <c r="EP35" s="6" t="n"/>
      <c r="EQ35" s="6" t="n"/>
      <c r="ER35" s="6" t="n"/>
      <c r="ES35" s="6" t="n"/>
      <c r="ET35" s="6" t="n"/>
      <c r="EU35" s="6" t="n"/>
      <c r="EV35" s="6" t="n"/>
      <c r="EW35" s="6" t="n"/>
      <c r="EX35" s="6" t="n"/>
      <c r="EY35" s="6" t="n"/>
      <c r="EZ35" s="6" t="n"/>
      <c r="FA35" s="6" t="n"/>
      <c r="FB35" s="6" t="n"/>
      <c r="FC35" s="6" t="n"/>
      <c r="FD35" s="6" t="n"/>
      <c r="FE35" s="6" t="n"/>
      <c r="FF35" s="6" t="n"/>
      <c r="FG35" s="6" t="n"/>
      <c r="FH35" s="6" t="n"/>
      <c r="FI35" s="6" t="n"/>
      <c r="FJ35" s="6" t="n"/>
      <c r="FK35" s="6" t="n"/>
      <c r="FL35" s="6" t="n"/>
      <c r="FM35" s="6" t="n"/>
      <c r="FN35" s="6" t="n"/>
      <c r="FO35" s="6" t="n"/>
      <c r="FP35" s="6" t="n"/>
      <c r="FQ35" s="6" t="n"/>
      <c r="FR35" s="6" t="n"/>
      <c r="FS35" s="6" t="n"/>
      <c r="FT35" s="6" t="n"/>
      <c r="FU35" s="6" t="n"/>
      <c r="FV35" s="6" t="n"/>
      <c r="FW35" s="6" t="n"/>
      <c r="FX35" s="6" t="n"/>
      <c r="FY35" s="6" t="n"/>
      <c r="FZ35" s="6" t="n"/>
      <c r="GA35" s="6" t="n"/>
      <c r="GB35" s="6" t="n"/>
      <c r="GC35" s="6" t="n"/>
      <c r="GD35" s="6" t="n"/>
      <c r="GE35" s="6" t="n"/>
      <c r="GF35" s="6" t="n"/>
      <c r="GG35" s="6" t="n"/>
      <c r="GH35" s="6" t="n"/>
      <c r="GI35" s="6" t="n"/>
      <c r="GJ35" s="6" t="n"/>
      <c r="GK35" s="6" t="n"/>
      <c r="GL35" s="6" t="n"/>
      <c r="GM35" s="6" t="n"/>
      <c r="GN35" s="6" t="n"/>
      <c r="GO35" s="6" t="n"/>
      <c r="GP35" s="6" t="n"/>
      <c r="GQ35" s="6" t="n"/>
      <c r="GR35" s="6" t="n"/>
      <c r="GS35" s="6" t="n"/>
      <c r="GT35" s="6" t="n"/>
      <c r="GU35" s="6" t="n"/>
    </row>
    <row r="36" ht="17.25" customHeight="1" s="11">
      <c r="C36" s="182" t="n"/>
      <c r="D36" s="182" t="n"/>
      <c r="E36" s="54" t="n"/>
      <c r="F36" s="38" t="n"/>
      <c r="G36" s="38" t="n"/>
      <c r="H36" s="236" t="n"/>
      <c r="I36" s="46" t="n"/>
      <c r="J36" s="237" t="n"/>
      <c r="K36" s="58" t="n"/>
      <c r="L36" s="238" t="n"/>
      <c r="M36" s="58" t="n"/>
      <c r="N36" s="23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7" t="n"/>
      <c r="DX36" s="7" t="n"/>
      <c r="DY36" s="7" t="n"/>
      <c r="DZ36" s="7" t="n"/>
      <c r="EA36" s="7" t="n"/>
      <c r="EB36" s="7" t="n"/>
      <c r="EC36" s="7" t="n"/>
      <c r="ED36" s="7" t="n"/>
      <c r="EE36" s="7" t="n"/>
      <c r="EF36" s="7" t="n"/>
      <c r="EG36" s="7" t="n"/>
      <c r="EH36" s="7" t="n"/>
      <c r="EI36" s="7" t="n"/>
      <c r="EJ36" s="7" t="n"/>
      <c r="EK36" s="7" t="n"/>
      <c r="EL36" s="6" t="n"/>
      <c r="EM36" s="6" t="n"/>
      <c r="EN36" s="6" t="n"/>
      <c r="EO36" s="6" t="n"/>
      <c r="EP36" s="6" t="n"/>
      <c r="EQ36" s="6" t="n"/>
      <c r="ER36" s="6" t="n"/>
      <c r="ES36" s="6" t="n"/>
      <c r="ET36" s="6" t="n"/>
      <c r="EU36" s="6" t="n"/>
      <c r="EV36" s="6" t="n"/>
      <c r="EW36" s="6" t="n"/>
      <c r="EX36" s="6" t="n"/>
      <c r="EY36" s="6" t="n"/>
      <c r="EZ36" s="6" t="n"/>
      <c r="FA36" s="6" t="n"/>
      <c r="FB36" s="6" t="n"/>
      <c r="FC36" s="6" t="n"/>
      <c r="FD36" s="6" t="n"/>
      <c r="FE36" s="6" t="n"/>
      <c r="FF36" s="6" t="n"/>
      <c r="FG36" s="6" t="n"/>
      <c r="FH36" s="6" t="n"/>
      <c r="FI36" s="6" t="n"/>
      <c r="FJ36" s="6" t="n"/>
      <c r="FK36" s="6" t="n"/>
      <c r="FL36" s="6" t="n"/>
      <c r="FM36" s="6" t="n"/>
      <c r="FN36" s="6" t="n"/>
      <c r="FO36" s="6" t="n"/>
      <c r="FP36" s="6" t="n"/>
      <c r="FQ36" s="6" t="n"/>
      <c r="FR36" s="6" t="n"/>
      <c r="FS36" s="6" t="n"/>
      <c r="FT36" s="6" t="n"/>
      <c r="FU36" s="6" t="n"/>
      <c r="FV36" s="6" t="n"/>
      <c r="FW36" s="6" t="n"/>
      <c r="FX36" s="6" t="n"/>
      <c r="FY36" s="6" t="n"/>
      <c r="FZ36" s="6" t="n"/>
      <c r="GA36" s="6" t="n"/>
      <c r="GB36" s="6" t="n"/>
      <c r="GC36" s="6" t="n"/>
      <c r="GD36" s="6" t="n"/>
      <c r="GE36" s="6" t="n"/>
      <c r="GF36" s="6" t="n"/>
      <c r="GG36" s="6" t="n"/>
      <c r="GH36" s="6" t="n"/>
      <c r="GI36" s="6" t="n"/>
      <c r="GJ36" s="6" t="n"/>
      <c r="GK36" s="6" t="n"/>
      <c r="GL36" s="6" t="n"/>
      <c r="GM36" s="6" t="n"/>
      <c r="GN36" s="6" t="n"/>
      <c r="GO36" s="6" t="n"/>
      <c r="GP36" s="6" t="n"/>
      <c r="GQ36" s="6" t="n"/>
      <c r="GR36" s="6" t="n"/>
      <c r="GS36" s="6" t="n"/>
      <c r="GT36" s="6" t="n"/>
      <c r="GU36" s="6" t="n"/>
    </row>
    <row r="37" ht="17.25" customHeight="1" s="11">
      <c r="C37" s="188" t="n"/>
      <c r="F37" s="38" t="n"/>
      <c r="G37" s="38" t="n"/>
      <c r="H37" s="236" t="n"/>
      <c r="I37" s="182" t="n"/>
      <c r="J37" s="237" t="n"/>
      <c r="K37" s="58" t="n"/>
      <c r="L37" s="238" t="n"/>
      <c r="M37" s="58" t="n"/>
      <c r="N37" s="23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6" t="n"/>
      <c r="EM37" s="6" t="n"/>
      <c r="EN37" s="6" t="n"/>
      <c r="EO37" s="6" t="n"/>
      <c r="EP37" s="6" t="n"/>
      <c r="EQ37" s="6" t="n"/>
      <c r="ER37" s="6" t="n"/>
      <c r="ES37" s="6" t="n"/>
      <c r="ET37" s="6" t="n"/>
      <c r="EU37" s="6" t="n"/>
      <c r="EV37" s="6" t="n"/>
      <c r="EW37" s="6" t="n"/>
      <c r="EX37" s="6" t="n"/>
      <c r="EY37" s="6" t="n"/>
      <c r="EZ37" s="6" t="n"/>
      <c r="FA37" s="6" t="n"/>
      <c r="FB37" s="6" t="n"/>
      <c r="FC37" s="6" t="n"/>
      <c r="FD37" s="6" t="n"/>
      <c r="FE37" s="6" t="n"/>
      <c r="FF37" s="6" t="n"/>
      <c r="FG37" s="6" t="n"/>
      <c r="FH37" s="6" t="n"/>
      <c r="FI37" s="6" t="n"/>
      <c r="FJ37" s="6" t="n"/>
      <c r="FK37" s="6" t="n"/>
      <c r="FL37" s="6" t="n"/>
      <c r="FM37" s="6" t="n"/>
      <c r="FN37" s="6" t="n"/>
      <c r="FO37" s="6" t="n"/>
      <c r="FP37" s="6" t="n"/>
      <c r="FQ37" s="6" t="n"/>
      <c r="FR37" s="6" t="n"/>
      <c r="FS37" s="6" t="n"/>
      <c r="FT37" s="6" t="n"/>
      <c r="FU37" s="6" t="n"/>
      <c r="FV37" s="6" t="n"/>
      <c r="FW37" s="6" t="n"/>
      <c r="FX37" s="6" t="n"/>
      <c r="FY37" s="6" t="n"/>
      <c r="FZ37" s="6" t="n"/>
      <c r="GA37" s="6" t="n"/>
      <c r="GB37" s="6" t="n"/>
      <c r="GC37" s="6" t="n"/>
      <c r="GD37" s="6" t="n"/>
      <c r="GE37" s="6" t="n"/>
      <c r="GF37" s="6" t="n"/>
      <c r="GG37" s="6" t="n"/>
      <c r="GH37" s="6" t="n"/>
      <c r="GI37" s="6" t="n"/>
      <c r="GJ37" s="6" t="n"/>
      <c r="GK37" s="6" t="n"/>
      <c r="GL37" s="6" t="n"/>
      <c r="GM37" s="6" t="n"/>
      <c r="GN37" s="6" t="n"/>
      <c r="GO37" s="6" t="n"/>
      <c r="GP37" s="6" t="n"/>
      <c r="GQ37" s="6" t="n"/>
      <c r="GR37" s="6" t="n"/>
      <c r="GS37" s="6" t="n"/>
      <c r="GT37" s="6" t="n"/>
      <c r="GU37" s="6" t="n"/>
    </row>
    <row r="38" ht="13.5" customHeight="1" s="11">
      <c r="C38" s="184" t="n"/>
      <c r="F38" s="42" t="n"/>
      <c r="G38" s="42" t="n"/>
      <c r="H38" s="236" t="n"/>
      <c r="I38" s="184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6" t="n"/>
      <c r="EM38" s="6" t="n"/>
      <c r="EN38" s="6" t="n"/>
      <c r="EO38" s="6" t="n"/>
      <c r="EP38" s="6" t="n"/>
      <c r="EQ38" s="6" t="n"/>
      <c r="ER38" s="6" t="n"/>
      <c r="ES38" s="6" t="n"/>
      <c r="ET38" s="6" t="n"/>
      <c r="EU38" s="6" t="n"/>
      <c r="EV38" s="6" t="n"/>
      <c r="EW38" s="6" t="n"/>
      <c r="EX38" s="6" t="n"/>
      <c r="EY38" s="6" t="n"/>
      <c r="EZ38" s="6" t="n"/>
      <c r="FA38" s="6" t="n"/>
      <c r="FB38" s="6" t="n"/>
      <c r="FC38" s="6" t="n"/>
      <c r="FD38" s="6" t="n"/>
      <c r="FE38" s="6" t="n"/>
      <c r="FF38" s="6" t="n"/>
      <c r="FG38" s="6" t="n"/>
      <c r="FH38" s="6" t="n"/>
      <c r="FI38" s="6" t="n"/>
      <c r="FJ38" s="6" t="n"/>
      <c r="FK38" s="6" t="n"/>
      <c r="FL38" s="6" t="n"/>
      <c r="FM38" s="6" t="n"/>
      <c r="FN38" s="6" t="n"/>
      <c r="FO38" s="6" t="n"/>
      <c r="FP38" s="6" t="n"/>
      <c r="FQ38" s="6" t="n"/>
      <c r="FR38" s="6" t="n"/>
      <c r="FS38" s="6" t="n"/>
      <c r="FT38" s="6" t="n"/>
      <c r="FU38" s="6" t="n"/>
      <c r="FV38" s="6" t="n"/>
      <c r="FW38" s="6" t="n"/>
      <c r="FX38" s="6" t="n"/>
      <c r="FY38" s="6" t="n"/>
      <c r="FZ38" s="6" t="n"/>
      <c r="GA38" s="6" t="n"/>
      <c r="GB38" s="6" t="n"/>
      <c r="GC38" s="6" t="n"/>
      <c r="GD38" s="6" t="n"/>
      <c r="GE38" s="6" t="n"/>
      <c r="GF38" s="6" t="n"/>
      <c r="GG38" s="6" t="n"/>
      <c r="GH38" s="6" t="n"/>
      <c r="GI38" s="6" t="n"/>
      <c r="GJ38" s="6" t="n"/>
      <c r="GK38" s="6" t="n"/>
      <c r="GL38" s="6" t="n"/>
      <c r="GM38" s="6" t="n"/>
      <c r="GN38" s="6" t="n"/>
      <c r="GO38" s="6" t="n"/>
      <c r="GP38" s="6" t="n"/>
      <c r="GQ38" s="6" t="n"/>
      <c r="GR38" s="6" t="n"/>
      <c r="GS38" s="6" t="n"/>
      <c r="GT38" s="6" t="n"/>
      <c r="GU38" s="6" t="n"/>
    </row>
    <row r="39" ht="30.75" customHeight="1" s="11">
      <c r="C39" s="184" t="n"/>
      <c r="D39" s="184" t="n"/>
      <c r="E39" s="54" t="n"/>
      <c r="F39" s="38" t="n"/>
      <c r="G39" s="38" t="n"/>
      <c r="H39" s="236" t="n"/>
      <c r="I39" s="184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6" t="n"/>
      <c r="EM39" s="6" t="n"/>
      <c r="EN39" s="6" t="n"/>
      <c r="EO39" s="6" t="n"/>
      <c r="EP39" s="6" t="n"/>
      <c r="EQ39" s="6" t="n"/>
      <c r="ER39" s="6" t="n"/>
      <c r="ES39" s="6" t="n"/>
      <c r="ET39" s="6" t="n"/>
      <c r="EU39" s="6" t="n"/>
      <c r="EV39" s="6" t="n"/>
      <c r="EW39" s="6" t="n"/>
      <c r="EX39" s="6" t="n"/>
      <c r="EY39" s="6" t="n"/>
      <c r="EZ39" s="6" t="n"/>
      <c r="FA39" s="6" t="n"/>
      <c r="FB39" s="6" t="n"/>
      <c r="FC39" s="6" t="n"/>
      <c r="FD39" s="6" t="n"/>
      <c r="FE39" s="6" t="n"/>
      <c r="FF39" s="6" t="n"/>
      <c r="FG39" s="6" t="n"/>
      <c r="FH39" s="6" t="n"/>
      <c r="FI39" s="6" t="n"/>
      <c r="FJ39" s="6" t="n"/>
      <c r="FK39" s="6" t="n"/>
      <c r="FL39" s="6" t="n"/>
      <c r="FM39" s="6" t="n"/>
      <c r="FN39" s="6" t="n"/>
      <c r="FO39" s="6" t="n"/>
      <c r="FP39" s="6" t="n"/>
      <c r="FQ39" s="6" t="n"/>
      <c r="FR39" s="6" t="n"/>
      <c r="FS39" s="6" t="n"/>
      <c r="FT39" s="6" t="n"/>
      <c r="FU39" s="6" t="n"/>
      <c r="FV39" s="6" t="n"/>
      <c r="FW39" s="6" t="n"/>
      <c r="FX39" s="6" t="n"/>
      <c r="FY39" s="6" t="n"/>
      <c r="FZ39" s="6" t="n"/>
      <c r="GA39" s="6" t="n"/>
      <c r="GB39" s="6" t="n"/>
      <c r="GC39" s="6" t="n"/>
      <c r="GD39" s="6" t="n"/>
      <c r="GE39" s="6" t="n"/>
      <c r="GF39" s="6" t="n"/>
      <c r="GG39" s="6" t="n"/>
      <c r="GH39" s="6" t="n"/>
      <c r="GI39" s="6" t="n"/>
      <c r="GJ39" s="6" t="n"/>
      <c r="GK39" s="6" t="n"/>
      <c r="GL39" s="6" t="n"/>
      <c r="GM39" s="6" t="n"/>
      <c r="GN39" s="6" t="n"/>
      <c r="GO39" s="6" t="n"/>
      <c r="GP39" s="6" t="n"/>
      <c r="GQ39" s="6" t="n"/>
      <c r="GR39" s="6" t="n"/>
      <c r="GS39" s="6" t="n"/>
      <c r="GT39" s="6" t="n"/>
      <c r="GU39" s="6" t="n"/>
    </row>
    <row r="40" ht="17.25" customHeight="1" s="11">
      <c r="C40" s="184" t="n"/>
      <c r="D40" s="184" t="n"/>
      <c r="E40" s="54" t="n"/>
      <c r="F40" s="38" t="n"/>
      <c r="G40" s="38" t="n"/>
      <c r="H40" s="236" t="n"/>
      <c r="I40" s="184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6" t="n"/>
      <c r="EM40" s="6" t="n"/>
      <c r="EN40" s="6" t="n"/>
      <c r="EO40" s="6" t="n"/>
      <c r="EP40" s="6" t="n"/>
      <c r="EQ40" s="6" t="n"/>
      <c r="ER40" s="6" t="n"/>
      <c r="ES40" s="6" t="n"/>
      <c r="ET40" s="6" t="n"/>
      <c r="EU40" s="6" t="n"/>
      <c r="EV40" s="6" t="n"/>
      <c r="EW40" s="6" t="n"/>
      <c r="EX40" s="6" t="n"/>
      <c r="EY40" s="6" t="n"/>
      <c r="EZ40" s="6" t="n"/>
      <c r="FA40" s="6" t="n"/>
      <c r="FB40" s="6" t="n"/>
      <c r="FC40" s="6" t="n"/>
      <c r="FD40" s="6" t="n"/>
      <c r="FE40" s="6" t="n"/>
      <c r="FF40" s="6" t="n"/>
      <c r="FG40" s="6" t="n"/>
      <c r="FH40" s="6" t="n"/>
      <c r="FI40" s="6" t="n"/>
      <c r="FJ40" s="6" t="n"/>
      <c r="FK40" s="6" t="n"/>
      <c r="FL40" s="6" t="n"/>
      <c r="FM40" s="6" t="n"/>
      <c r="FN40" s="6" t="n"/>
      <c r="FO40" s="6" t="n"/>
      <c r="FP40" s="6" t="n"/>
      <c r="FQ40" s="6" t="n"/>
      <c r="FR40" s="6" t="n"/>
      <c r="FS40" s="6" t="n"/>
      <c r="FT40" s="6" t="n"/>
      <c r="FU40" s="6" t="n"/>
      <c r="FV40" s="6" t="n"/>
      <c r="FW40" s="6" t="n"/>
      <c r="FX40" s="6" t="n"/>
      <c r="FY40" s="6" t="n"/>
      <c r="FZ40" s="6" t="n"/>
      <c r="GA40" s="6" t="n"/>
      <c r="GB40" s="6" t="n"/>
      <c r="GC40" s="6" t="n"/>
      <c r="GD40" s="6" t="n"/>
      <c r="GE40" s="6" t="n"/>
      <c r="GF40" s="6" t="n"/>
      <c r="GG40" s="6" t="n"/>
      <c r="GH40" s="6" t="n"/>
      <c r="GI40" s="6" t="n"/>
      <c r="GJ40" s="6" t="n"/>
      <c r="GK40" s="6" t="n"/>
      <c r="GL40" s="6" t="n"/>
      <c r="GM40" s="6" t="n"/>
      <c r="GN40" s="6" t="n"/>
      <c r="GO40" s="6" t="n"/>
      <c r="GP40" s="6" t="n"/>
      <c r="GQ40" s="6" t="n"/>
      <c r="GR40" s="6" t="n"/>
      <c r="GS40" s="6" t="n"/>
      <c r="GT40" s="6" t="n"/>
      <c r="GU40" s="6" t="n"/>
    </row>
    <row r="41" ht="21" customHeight="1" s="11">
      <c r="C41" s="184" t="n"/>
      <c r="D41" s="184" t="n"/>
      <c r="E41" s="54" t="n"/>
      <c r="F41" s="38" t="n"/>
      <c r="G41" s="38" t="n"/>
      <c r="H41" s="236" t="n"/>
      <c r="I41" s="184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7" t="n"/>
      <c r="EK41" s="7" t="n"/>
      <c r="EL41" s="6" t="n"/>
      <c r="EM41" s="6" t="n"/>
      <c r="EN41" s="6" t="n"/>
      <c r="EO41" s="6" t="n"/>
      <c r="EP41" s="6" t="n"/>
      <c r="EQ41" s="6" t="n"/>
      <c r="ER41" s="6" t="n"/>
      <c r="ES41" s="6" t="n"/>
      <c r="ET41" s="6" t="n"/>
      <c r="EU41" s="6" t="n"/>
      <c r="EV41" s="6" t="n"/>
      <c r="EW41" s="6" t="n"/>
      <c r="EX41" s="6" t="n"/>
      <c r="EY41" s="6" t="n"/>
      <c r="EZ41" s="6" t="n"/>
      <c r="FA41" s="6" t="n"/>
      <c r="FB41" s="6" t="n"/>
      <c r="FC41" s="6" t="n"/>
      <c r="FD41" s="6" t="n"/>
      <c r="FE41" s="6" t="n"/>
      <c r="FF41" s="6" t="n"/>
      <c r="FG41" s="6" t="n"/>
      <c r="FH41" s="6" t="n"/>
      <c r="FI41" s="6" t="n"/>
      <c r="FJ41" s="6" t="n"/>
      <c r="FK41" s="6" t="n"/>
      <c r="FL41" s="6" t="n"/>
      <c r="FM41" s="6" t="n"/>
      <c r="FN41" s="6" t="n"/>
      <c r="FO41" s="6" t="n"/>
      <c r="FP41" s="6" t="n"/>
      <c r="FQ41" s="6" t="n"/>
      <c r="FR41" s="6" t="n"/>
      <c r="FS41" s="6" t="n"/>
      <c r="FT41" s="6" t="n"/>
      <c r="FU41" s="6" t="n"/>
      <c r="FV41" s="6" t="n"/>
      <c r="FW41" s="6" t="n"/>
      <c r="FX41" s="6" t="n"/>
      <c r="FY41" s="6" t="n"/>
      <c r="FZ41" s="6" t="n"/>
      <c r="GA41" s="6" t="n"/>
      <c r="GB41" s="6" t="n"/>
      <c r="GC41" s="6" t="n"/>
      <c r="GD41" s="6" t="n"/>
      <c r="GE41" s="6" t="n"/>
      <c r="GF41" s="6" t="n"/>
      <c r="GG41" s="6" t="n"/>
      <c r="GH41" s="6" t="n"/>
      <c r="GI41" s="6" t="n"/>
      <c r="GJ41" s="6" t="n"/>
      <c r="GK41" s="6" t="n"/>
      <c r="GL41" s="6" t="n"/>
      <c r="GM41" s="6" t="n"/>
      <c r="GN41" s="6" t="n"/>
      <c r="GO41" s="6" t="n"/>
      <c r="GP41" s="6" t="n"/>
      <c r="GQ41" s="6" t="n"/>
      <c r="GR41" s="6" t="n"/>
      <c r="GS41" s="6" t="n"/>
      <c r="GT41" s="6" t="n"/>
      <c r="GU41" s="6" t="n"/>
    </row>
    <row r="42" ht="23.25" customHeight="1" s="11">
      <c r="C42" s="188" t="n"/>
      <c r="D42" s="188" t="n"/>
      <c r="E42" s="54" t="n"/>
      <c r="F42" s="38" t="n"/>
      <c r="G42" s="38" t="n"/>
      <c r="H42" s="236" t="n"/>
      <c r="I42" s="184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6" t="n"/>
      <c r="EM42" s="6" t="n"/>
      <c r="EN42" s="6" t="n"/>
      <c r="EO42" s="6" t="n"/>
      <c r="EP42" s="6" t="n"/>
      <c r="EQ42" s="6" t="n"/>
      <c r="ER42" s="6" t="n"/>
      <c r="ES42" s="6" t="n"/>
      <c r="ET42" s="6" t="n"/>
      <c r="EU42" s="6" t="n"/>
      <c r="EV42" s="6" t="n"/>
      <c r="EW42" s="6" t="n"/>
      <c r="EX42" s="6" t="n"/>
      <c r="EY42" s="6" t="n"/>
      <c r="EZ42" s="6" t="n"/>
      <c r="FA42" s="6" t="n"/>
      <c r="FB42" s="6" t="n"/>
      <c r="FC42" s="6" t="n"/>
      <c r="FD42" s="6" t="n"/>
      <c r="FE42" s="6" t="n"/>
      <c r="FF42" s="6" t="n"/>
      <c r="FG42" s="6" t="n"/>
      <c r="FH42" s="6" t="n"/>
      <c r="FI42" s="6" t="n"/>
      <c r="FJ42" s="6" t="n"/>
      <c r="FK42" s="6" t="n"/>
      <c r="FL42" s="6" t="n"/>
      <c r="FM42" s="6" t="n"/>
      <c r="FN42" s="6" t="n"/>
      <c r="FO42" s="6" t="n"/>
      <c r="FP42" s="6" t="n"/>
      <c r="FQ42" s="6" t="n"/>
      <c r="FR42" s="6" t="n"/>
      <c r="FS42" s="6" t="n"/>
      <c r="FT42" s="6" t="n"/>
      <c r="FU42" s="6" t="n"/>
      <c r="FV42" s="6" t="n"/>
      <c r="FW42" s="6" t="n"/>
      <c r="FX42" s="6" t="n"/>
      <c r="FY42" s="6" t="n"/>
      <c r="FZ42" s="6" t="n"/>
      <c r="GA42" s="6" t="n"/>
      <c r="GB42" s="6" t="n"/>
      <c r="GC42" s="6" t="n"/>
      <c r="GD42" s="6" t="n"/>
      <c r="GE42" s="6" t="n"/>
      <c r="GF42" s="6" t="n"/>
      <c r="GG42" s="6" t="n"/>
      <c r="GH42" s="6" t="n"/>
      <c r="GI42" s="6" t="n"/>
      <c r="GJ42" s="6" t="n"/>
      <c r="GK42" s="6" t="n"/>
      <c r="GL42" s="6" t="n"/>
      <c r="GM42" s="6" t="n"/>
      <c r="GN42" s="6" t="n"/>
      <c r="GO42" s="6" t="n"/>
      <c r="GP42" s="6" t="n"/>
      <c r="GQ42" s="6" t="n"/>
      <c r="GR42" s="6" t="n"/>
      <c r="GS42" s="6" t="n"/>
      <c r="GT42" s="6" t="n"/>
      <c r="GU42" s="6" t="n"/>
    </row>
    <row r="43" ht="17.25" customHeight="1" s="11">
      <c r="C43" s="184" t="n"/>
      <c r="F43" s="42" t="n"/>
      <c r="G43" s="42" t="n"/>
      <c r="H43" s="236" t="n"/>
      <c r="I43" s="184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7" t="n"/>
      <c r="DX43" s="7" t="n"/>
      <c r="DY43" s="7" t="n"/>
      <c r="DZ43" s="7" t="n"/>
      <c r="EA43" s="7" t="n"/>
      <c r="EB43" s="7" t="n"/>
      <c r="EC43" s="7" t="n"/>
      <c r="ED43" s="7" t="n"/>
      <c r="EE43" s="7" t="n"/>
      <c r="EF43" s="7" t="n"/>
      <c r="EG43" s="7" t="n"/>
      <c r="EH43" s="7" t="n"/>
      <c r="EI43" s="7" t="n"/>
      <c r="EJ43" s="7" t="n"/>
      <c r="EK43" s="7" t="n"/>
      <c r="EL43" s="6" t="n"/>
      <c r="EM43" s="6" t="n"/>
      <c r="EN43" s="6" t="n"/>
      <c r="EO43" s="6" t="n"/>
      <c r="EP43" s="6" t="n"/>
      <c r="EQ43" s="6" t="n"/>
      <c r="ER43" s="6" t="n"/>
      <c r="ES43" s="6" t="n"/>
      <c r="ET43" s="6" t="n"/>
      <c r="EU43" s="6" t="n"/>
      <c r="EV43" s="6" t="n"/>
      <c r="EW43" s="6" t="n"/>
      <c r="EX43" s="6" t="n"/>
      <c r="EY43" s="6" t="n"/>
      <c r="EZ43" s="6" t="n"/>
      <c r="FA43" s="6" t="n"/>
      <c r="FB43" s="6" t="n"/>
      <c r="FC43" s="6" t="n"/>
      <c r="FD43" s="6" t="n"/>
      <c r="FE43" s="6" t="n"/>
      <c r="FF43" s="6" t="n"/>
      <c r="FG43" s="6" t="n"/>
      <c r="FH43" s="6" t="n"/>
      <c r="FI43" s="6" t="n"/>
      <c r="FJ43" s="6" t="n"/>
      <c r="FK43" s="6" t="n"/>
      <c r="FL43" s="6" t="n"/>
      <c r="FM43" s="6" t="n"/>
      <c r="FN43" s="6" t="n"/>
      <c r="FO43" s="6" t="n"/>
      <c r="FP43" s="6" t="n"/>
      <c r="FQ43" s="6" t="n"/>
      <c r="FR43" s="6" t="n"/>
      <c r="FS43" s="6" t="n"/>
      <c r="FT43" s="6" t="n"/>
      <c r="FU43" s="6" t="n"/>
      <c r="FV43" s="6" t="n"/>
      <c r="FW43" s="6" t="n"/>
      <c r="FX43" s="6" t="n"/>
      <c r="FY43" s="6" t="n"/>
      <c r="FZ43" s="6" t="n"/>
      <c r="GA43" s="6" t="n"/>
      <c r="GB43" s="6" t="n"/>
      <c r="GC43" s="6" t="n"/>
      <c r="GD43" s="6" t="n"/>
      <c r="GE43" s="6" t="n"/>
      <c r="GF43" s="6" t="n"/>
      <c r="GG43" s="6" t="n"/>
      <c r="GH43" s="6" t="n"/>
      <c r="GI43" s="6" t="n"/>
      <c r="GJ43" s="6" t="n"/>
      <c r="GK43" s="6" t="n"/>
      <c r="GL43" s="6" t="n"/>
      <c r="GM43" s="6" t="n"/>
      <c r="GN43" s="6" t="n"/>
      <c r="GO43" s="6" t="n"/>
      <c r="GP43" s="6" t="n"/>
      <c r="GQ43" s="6" t="n"/>
      <c r="GR43" s="6" t="n"/>
      <c r="GS43" s="6" t="n"/>
      <c r="GT43" s="6" t="n"/>
      <c r="GU43" s="6" t="n"/>
    </row>
    <row r="44" ht="17.25" customHeight="1" s="11">
      <c r="C44" s="184" t="n"/>
      <c r="D44" s="184" t="n"/>
      <c r="E44" s="54" t="n"/>
      <c r="F44" s="38" t="n"/>
      <c r="G44" s="38" t="n"/>
      <c r="H44" s="236" t="n"/>
      <c r="I44" s="184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6" t="n"/>
      <c r="EM44" s="6" t="n"/>
      <c r="EN44" s="6" t="n"/>
      <c r="EO44" s="6" t="n"/>
      <c r="EP44" s="6" t="n"/>
      <c r="EQ44" s="6" t="n"/>
      <c r="ER44" s="6" t="n"/>
      <c r="ES44" s="6" t="n"/>
      <c r="ET44" s="6" t="n"/>
      <c r="EU44" s="6" t="n"/>
      <c r="EV44" s="6" t="n"/>
      <c r="EW44" s="6" t="n"/>
      <c r="EX44" s="6" t="n"/>
      <c r="EY44" s="6" t="n"/>
      <c r="EZ44" s="6" t="n"/>
      <c r="FA44" s="6" t="n"/>
      <c r="FB44" s="6" t="n"/>
      <c r="FC44" s="6" t="n"/>
      <c r="FD44" s="6" t="n"/>
      <c r="FE44" s="6" t="n"/>
      <c r="FF44" s="6" t="n"/>
      <c r="FG44" s="6" t="n"/>
      <c r="FH44" s="6" t="n"/>
      <c r="FI44" s="6" t="n"/>
      <c r="FJ44" s="6" t="n"/>
      <c r="FK44" s="6" t="n"/>
      <c r="FL44" s="6" t="n"/>
      <c r="FM44" s="6" t="n"/>
      <c r="FN44" s="6" t="n"/>
      <c r="FO44" s="6" t="n"/>
      <c r="FP44" s="6" t="n"/>
      <c r="FQ44" s="6" t="n"/>
      <c r="FR44" s="6" t="n"/>
      <c r="FS44" s="6" t="n"/>
      <c r="FT44" s="6" t="n"/>
      <c r="FU44" s="6" t="n"/>
      <c r="FV44" s="6" t="n"/>
      <c r="FW44" s="6" t="n"/>
      <c r="FX44" s="6" t="n"/>
      <c r="FY44" s="6" t="n"/>
      <c r="FZ44" s="6" t="n"/>
      <c r="GA44" s="6" t="n"/>
      <c r="GB44" s="6" t="n"/>
      <c r="GC44" s="6" t="n"/>
      <c r="GD44" s="6" t="n"/>
      <c r="GE44" s="6" t="n"/>
      <c r="GF44" s="6" t="n"/>
      <c r="GG44" s="6" t="n"/>
      <c r="GH44" s="6" t="n"/>
      <c r="GI44" s="6" t="n"/>
      <c r="GJ44" s="6" t="n"/>
      <c r="GK44" s="6" t="n"/>
      <c r="GL44" s="6" t="n"/>
      <c r="GM44" s="6" t="n"/>
      <c r="GN44" s="6" t="n"/>
      <c r="GO44" s="6" t="n"/>
      <c r="GP44" s="6" t="n"/>
      <c r="GQ44" s="6" t="n"/>
      <c r="GR44" s="6" t="n"/>
      <c r="GS44" s="6" t="n"/>
      <c r="GT44" s="6" t="n"/>
      <c r="GU44" s="6" t="n"/>
    </row>
    <row r="45" ht="17.25" customHeight="1" s="11">
      <c r="C45" s="184" t="n"/>
      <c r="F45" s="38" t="n"/>
      <c r="G45" s="38" t="n"/>
      <c r="H45" s="236" t="n"/>
      <c r="I45" s="184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6" t="n"/>
      <c r="EM45" s="6" t="n"/>
      <c r="EN45" s="6" t="n"/>
      <c r="EO45" s="6" t="n"/>
      <c r="EP45" s="6" t="n"/>
      <c r="EQ45" s="6" t="n"/>
      <c r="ER45" s="6" t="n"/>
      <c r="ES45" s="6" t="n"/>
      <c r="ET45" s="6" t="n"/>
      <c r="EU45" s="6" t="n"/>
      <c r="EV45" s="6" t="n"/>
      <c r="EW45" s="6" t="n"/>
      <c r="EX45" s="6" t="n"/>
      <c r="EY45" s="6" t="n"/>
      <c r="EZ45" s="6" t="n"/>
      <c r="FA45" s="6" t="n"/>
      <c r="FB45" s="6" t="n"/>
      <c r="FC45" s="6" t="n"/>
      <c r="FD45" s="6" t="n"/>
      <c r="FE45" s="6" t="n"/>
      <c r="FF45" s="6" t="n"/>
      <c r="FG45" s="6" t="n"/>
      <c r="FH45" s="6" t="n"/>
      <c r="FI45" s="6" t="n"/>
      <c r="FJ45" s="6" t="n"/>
      <c r="FK45" s="6" t="n"/>
      <c r="FL45" s="6" t="n"/>
      <c r="FM45" s="6" t="n"/>
      <c r="FN45" s="6" t="n"/>
      <c r="FO45" s="6" t="n"/>
      <c r="FP45" s="6" t="n"/>
      <c r="FQ45" s="6" t="n"/>
      <c r="FR45" s="6" t="n"/>
      <c r="FS45" s="6" t="n"/>
      <c r="FT45" s="6" t="n"/>
      <c r="FU45" s="6" t="n"/>
      <c r="FV45" s="6" t="n"/>
      <c r="FW45" s="6" t="n"/>
      <c r="FX45" s="6" t="n"/>
      <c r="FY45" s="6" t="n"/>
      <c r="FZ45" s="6" t="n"/>
      <c r="GA45" s="6" t="n"/>
      <c r="GB45" s="6" t="n"/>
      <c r="GC45" s="6" t="n"/>
      <c r="GD45" s="6" t="n"/>
      <c r="GE45" s="6" t="n"/>
      <c r="GF45" s="6" t="n"/>
      <c r="GG45" s="6" t="n"/>
      <c r="GH45" s="6" t="n"/>
      <c r="GI45" s="6" t="n"/>
      <c r="GJ45" s="6" t="n"/>
      <c r="GK45" s="6" t="n"/>
      <c r="GL45" s="6" t="n"/>
      <c r="GM45" s="6" t="n"/>
      <c r="GN45" s="6" t="n"/>
      <c r="GO45" s="6" t="n"/>
      <c r="GP45" s="6" t="n"/>
      <c r="GQ45" s="6" t="n"/>
      <c r="GR45" s="6" t="n"/>
      <c r="GS45" s="6" t="n"/>
      <c r="GT45" s="6" t="n"/>
      <c r="GU45" s="6" t="n"/>
    </row>
    <row r="46" ht="17.25" customHeight="1" s="11">
      <c r="C46" s="184" t="n"/>
      <c r="F46" s="38" t="n"/>
      <c r="G46" s="38" t="n"/>
      <c r="H46" s="236" t="n"/>
      <c r="I46" s="184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7" t="n"/>
      <c r="EF46" s="7" t="n"/>
      <c r="EG46" s="7" t="n"/>
      <c r="EH46" s="7" t="n"/>
      <c r="EI46" s="7" t="n"/>
      <c r="EJ46" s="7" t="n"/>
      <c r="EK46" s="7" t="n"/>
      <c r="EL46" s="6" t="n"/>
      <c r="EM46" s="6" t="n"/>
      <c r="EN46" s="6" t="n"/>
      <c r="EO46" s="6" t="n"/>
      <c r="EP46" s="6" t="n"/>
      <c r="EQ46" s="6" t="n"/>
      <c r="ER46" s="6" t="n"/>
      <c r="ES46" s="6" t="n"/>
      <c r="ET46" s="6" t="n"/>
      <c r="EU46" s="6" t="n"/>
      <c r="EV46" s="6" t="n"/>
      <c r="EW46" s="6" t="n"/>
      <c r="EX46" s="6" t="n"/>
      <c r="EY46" s="6" t="n"/>
      <c r="EZ46" s="6" t="n"/>
      <c r="FA46" s="6" t="n"/>
      <c r="FB46" s="6" t="n"/>
      <c r="FC46" s="6" t="n"/>
      <c r="FD46" s="6" t="n"/>
      <c r="FE46" s="6" t="n"/>
      <c r="FF46" s="6" t="n"/>
      <c r="FG46" s="6" t="n"/>
      <c r="FH46" s="6" t="n"/>
      <c r="FI46" s="6" t="n"/>
      <c r="FJ46" s="6" t="n"/>
      <c r="FK46" s="6" t="n"/>
      <c r="FL46" s="6" t="n"/>
      <c r="FM46" s="6" t="n"/>
      <c r="FN46" s="6" t="n"/>
      <c r="FO46" s="6" t="n"/>
      <c r="FP46" s="6" t="n"/>
      <c r="FQ46" s="6" t="n"/>
      <c r="FR46" s="6" t="n"/>
      <c r="FS46" s="6" t="n"/>
      <c r="FT46" s="6" t="n"/>
      <c r="FU46" s="6" t="n"/>
      <c r="FV46" s="6" t="n"/>
      <c r="FW46" s="6" t="n"/>
      <c r="FX46" s="6" t="n"/>
      <c r="FY46" s="6" t="n"/>
      <c r="FZ46" s="6" t="n"/>
      <c r="GA46" s="6" t="n"/>
      <c r="GB46" s="6" t="n"/>
      <c r="GC46" s="6" t="n"/>
      <c r="GD46" s="6" t="n"/>
      <c r="GE46" s="6" t="n"/>
      <c r="GF46" s="6" t="n"/>
      <c r="GG46" s="6" t="n"/>
      <c r="GH46" s="6" t="n"/>
      <c r="GI46" s="6" t="n"/>
      <c r="GJ46" s="6" t="n"/>
      <c r="GK46" s="6" t="n"/>
      <c r="GL46" s="6" t="n"/>
      <c r="GM46" s="6" t="n"/>
      <c r="GN46" s="6" t="n"/>
      <c r="GO46" s="6" t="n"/>
      <c r="GP46" s="6" t="n"/>
      <c r="GQ46" s="6" t="n"/>
      <c r="GR46" s="6" t="n"/>
      <c r="GS46" s="6" t="n"/>
      <c r="GT46" s="6" t="n"/>
      <c r="GU46" s="6" t="n"/>
    </row>
    <row r="47" ht="17.25" customHeight="1" s="11">
      <c r="C47" s="184" t="n"/>
      <c r="F47" s="42" t="n"/>
      <c r="G47" s="42" t="n"/>
      <c r="H47" s="236" t="n"/>
      <c r="I47" s="184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7" t="n"/>
      <c r="EF47" s="7" t="n"/>
      <c r="EG47" s="7" t="n"/>
      <c r="EH47" s="7" t="n"/>
      <c r="EI47" s="7" t="n"/>
      <c r="EJ47" s="7" t="n"/>
      <c r="EK47" s="7" t="n"/>
      <c r="EL47" s="6" t="n"/>
      <c r="EM47" s="6" t="n"/>
      <c r="EN47" s="6" t="n"/>
      <c r="EO47" s="6" t="n"/>
      <c r="EP47" s="6" t="n"/>
      <c r="EQ47" s="6" t="n"/>
      <c r="ER47" s="6" t="n"/>
      <c r="ES47" s="6" t="n"/>
      <c r="ET47" s="6" t="n"/>
      <c r="EU47" s="6" t="n"/>
      <c r="EV47" s="6" t="n"/>
      <c r="EW47" s="6" t="n"/>
      <c r="EX47" s="6" t="n"/>
      <c r="EY47" s="6" t="n"/>
      <c r="EZ47" s="6" t="n"/>
      <c r="FA47" s="6" t="n"/>
      <c r="FB47" s="6" t="n"/>
      <c r="FC47" s="6" t="n"/>
      <c r="FD47" s="6" t="n"/>
      <c r="FE47" s="6" t="n"/>
      <c r="FF47" s="6" t="n"/>
      <c r="FG47" s="6" t="n"/>
      <c r="FH47" s="6" t="n"/>
      <c r="FI47" s="6" t="n"/>
      <c r="FJ47" s="6" t="n"/>
      <c r="FK47" s="6" t="n"/>
      <c r="FL47" s="6" t="n"/>
      <c r="FM47" s="6" t="n"/>
      <c r="FN47" s="6" t="n"/>
      <c r="FO47" s="6" t="n"/>
      <c r="FP47" s="6" t="n"/>
      <c r="FQ47" s="6" t="n"/>
      <c r="FR47" s="6" t="n"/>
      <c r="FS47" s="6" t="n"/>
      <c r="FT47" s="6" t="n"/>
      <c r="FU47" s="6" t="n"/>
      <c r="FV47" s="6" t="n"/>
      <c r="FW47" s="6" t="n"/>
      <c r="FX47" s="6" t="n"/>
      <c r="FY47" s="6" t="n"/>
      <c r="FZ47" s="6" t="n"/>
      <c r="GA47" s="6" t="n"/>
      <c r="GB47" s="6" t="n"/>
      <c r="GC47" s="6" t="n"/>
      <c r="GD47" s="6" t="n"/>
      <c r="GE47" s="6" t="n"/>
      <c r="GF47" s="6" t="n"/>
      <c r="GG47" s="6" t="n"/>
      <c r="GH47" s="6" t="n"/>
      <c r="GI47" s="6" t="n"/>
      <c r="GJ47" s="6" t="n"/>
      <c r="GK47" s="6" t="n"/>
      <c r="GL47" s="6" t="n"/>
      <c r="GM47" s="6" t="n"/>
      <c r="GN47" s="6" t="n"/>
      <c r="GO47" s="6" t="n"/>
      <c r="GP47" s="6" t="n"/>
      <c r="GQ47" s="6" t="n"/>
      <c r="GR47" s="6" t="n"/>
      <c r="GS47" s="6" t="n"/>
      <c r="GT47" s="6" t="n"/>
      <c r="GU47" s="6" t="n"/>
    </row>
    <row r="48" ht="17.25" customHeight="1" s="11">
      <c r="C48" s="184" t="n"/>
      <c r="F48" s="42" t="n"/>
      <c r="G48" s="42" t="n"/>
      <c r="H48" s="236" t="n"/>
      <c r="I48" s="184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7" t="n"/>
      <c r="EF48" s="7" t="n"/>
      <c r="EG48" s="7" t="n"/>
      <c r="EH48" s="7" t="n"/>
      <c r="EI48" s="7" t="n"/>
      <c r="EJ48" s="7" t="n"/>
      <c r="EK48" s="7" t="n"/>
      <c r="EL48" s="6" t="n"/>
      <c r="EM48" s="6" t="n"/>
      <c r="EN48" s="6" t="n"/>
      <c r="EO48" s="6" t="n"/>
      <c r="EP48" s="6" t="n"/>
      <c r="EQ48" s="6" t="n"/>
      <c r="ER48" s="6" t="n"/>
      <c r="ES48" s="6" t="n"/>
      <c r="ET48" s="6" t="n"/>
      <c r="EU48" s="6" t="n"/>
      <c r="EV48" s="6" t="n"/>
      <c r="EW48" s="6" t="n"/>
      <c r="EX48" s="6" t="n"/>
      <c r="EY48" s="6" t="n"/>
      <c r="EZ48" s="6" t="n"/>
      <c r="FA48" s="6" t="n"/>
      <c r="FB48" s="6" t="n"/>
      <c r="FC48" s="6" t="n"/>
      <c r="FD48" s="6" t="n"/>
      <c r="FE48" s="6" t="n"/>
      <c r="FF48" s="6" t="n"/>
      <c r="FG48" s="6" t="n"/>
      <c r="FH48" s="6" t="n"/>
      <c r="FI48" s="6" t="n"/>
      <c r="FJ48" s="6" t="n"/>
      <c r="FK48" s="6" t="n"/>
      <c r="FL48" s="6" t="n"/>
      <c r="FM48" s="6" t="n"/>
      <c r="FN48" s="6" t="n"/>
      <c r="FO48" s="6" t="n"/>
      <c r="FP48" s="6" t="n"/>
      <c r="FQ48" s="6" t="n"/>
      <c r="FR48" s="6" t="n"/>
      <c r="FS48" s="6" t="n"/>
      <c r="FT48" s="6" t="n"/>
      <c r="FU48" s="6" t="n"/>
      <c r="FV48" s="6" t="n"/>
      <c r="FW48" s="6" t="n"/>
      <c r="FX48" s="6" t="n"/>
      <c r="FY48" s="6" t="n"/>
      <c r="FZ48" s="6" t="n"/>
      <c r="GA48" s="6" t="n"/>
      <c r="GB48" s="6" t="n"/>
      <c r="GC48" s="6" t="n"/>
      <c r="GD48" s="6" t="n"/>
      <c r="GE48" s="6" t="n"/>
      <c r="GF48" s="6" t="n"/>
      <c r="GG48" s="6" t="n"/>
      <c r="GH48" s="6" t="n"/>
      <c r="GI48" s="6" t="n"/>
      <c r="GJ48" s="6" t="n"/>
      <c r="GK48" s="6" t="n"/>
      <c r="GL48" s="6" t="n"/>
      <c r="GM48" s="6" t="n"/>
      <c r="GN48" s="6" t="n"/>
      <c r="GO48" s="6" t="n"/>
      <c r="GP48" s="6" t="n"/>
      <c r="GQ48" s="6" t="n"/>
      <c r="GR48" s="6" t="n"/>
      <c r="GS48" s="6" t="n"/>
      <c r="GT48" s="6" t="n"/>
      <c r="GU48" s="6" t="n"/>
    </row>
    <row r="49" ht="17.25" customHeight="1" s="11">
      <c r="C49" s="184" t="n"/>
      <c r="F49" s="42" t="n"/>
      <c r="G49" s="42" t="n"/>
      <c r="H49" s="236" t="n"/>
      <c r="I49" s="184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7" t="n"/>
      <c r="EF49" s="7" t="n"/>
      <c r="EG49" s="7" t="n"/>
      <c r="EH49" s="7" t="n"/>
      <c r="EI49" s="7" t="n"/>
      <c r="EJ49" s="7" t="n"/>
      <c r="EK49" s="7" t="n"/>
      <c r="EL49" s="6" t="n"/>
      <c r="EM49" s="6" t="n"/>
      <c r="EN49" s="6" t="n"/>
      <c r="EO49" s="6" t="n"/>
      <c r="EP49" s="6" t="n"/>
      <c r="EQ49" s="6" t="n"/>
      <c r="ER49" s="6" t="n"/>
      <c r="ES49" s="6" t="n"/>
      <c r="ET49" s="6" t="n"/>
      <c r="EU49" s="6" t="n"/>
      <c r="EV49" s="6" t="n"/>
      <c r="EW49" s="6" t="n"/>
      <c r="EX49" s="6" t="n"/>
      <c r="EY49" s="6" t="n"/>
      <c r="EZ49" s="6" t="n"/>
      <c r="FA49" s="6" t="n"/>
      <c r="FB49" s="6" t="n"/>
      <c r="FC49" s="6" t="n"/>
      <c r="FD49" s="6" t="n"/>
      <c r="FE49" s="6" t="n"/>
      <c r="FF49" s="6" t="n"/>
      <c r="FG49" s="6" t="n"/>
      <c r="FH49" s="6" t="n"/>
      <c r="FI49" s="6" t="n"/>
      <c r="FJ49" s="6" t="n"/>
      <c r="FK49" s="6" t="n"/>
      <c r="FL49" s="6" t="n"/>
      <c r="FM49" s="6" t="n"/>
      <c r="FN49" s="6" t="n"/>
      <c r="FO49" s="6" t="n"/>
      <c r="FP49" s="6" t="n"/>
      <c r="FQ49" s="6" t="n"/>
      <c r="FR49" s="6" t="n"/>
      <c r="FS49" s="6" t="n"/>
      <c r="FT49" s="6" t="n"/>
      <c r="FU49" s="6" t="n"/>
      <c r="FV49" s="6" t="n"/>
      <c r="FW49" s="6" t="n"/>
      <c r="FX49" s="6" t="n"/>
      <c r="FY49" s="6" t="n"/>
      <c r="FZ49" s="6" t="n"/>
      <c r="GA49" s="6" t="n"/>
      <c r="GB49" s="6" t="n"/>
      <c r="GC49" s="6" t="n"/>
      <c r="GD49" s="6" t="n"/>
      <c r="GE49" s="6" t="n"/>
      <c r="GF49" s="6" t="n"/>
      <c r="GG49" s="6" t="n"/>
      <c r="GH49" s="6" t="n"/>
      <c r="GI49" s="6" t="n"/>
      <c r="GJ49" s="6" t="n"/>
      <c r="GK49" s="6" t="n"/>
      <c r="GL49" s="6" t="n"/>
      <c r="GM49" s="6" t="n"/>
      <c r="GN49" s="6" t="n"/>
      <c r="GO49" s="6" t="n"/>
      <c r="GP49" s="6" t="n"/>
      <c r="GQ49" s="6" t="n"/>
      <c r="GR49" s="6" t="n"/>
      <c r="GS49" s="6" t="n"/>
      <c r="GT49" s="6" t="n"/>
      <c r="GU49" s="6" t="n"/>
    </row>
    <row r="50" ht="17.25" customHeight="1" s="11">
      <c r="C50" s="184" t="n"/>
      <c r="D50" s="184" t="n"/>
      <c r="E50" s="54" t="n"/>
      <c r="F50" s="38" t="n"/>
      <c r="G50" s="38" t="n"/>
      <c r="H50" s="236" t="n"/>
      <c r="I50" s="184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7" t="n"/>
      <c r="EF50" s="7" t="n"/>
      <c r="EG50" s="7" t="n"/>
      <c r="EH50" s="7" t="n"/>
      <c r="EI50" s="7" t="n"/>
      <c r="EJ50" s="7" t="n"/>
      <c r="EK50" s="7" t="n"/>
      <c r="EL50" s="6" t="n"/>
      <c r="EM50" s="6" t="n"/>
      <c r="EN50" s="6" t="n"/>
      <c r="EO50" s="6" t="n"/>
      <c r="EP50" s="6" t="n"/>
      <c r="EQ50" s="6" t="n"/>
      <c r="ER50" s="6" t="n"/>
      <c r="ES50" s="6" t="n"/>
      <c r="ET50" s="6" t="n"/>
      <c r="EU50" s="6" t="n"/>
      <c r="EV50" s="6" t="n"/>
      <c r="EW50" s="6" t="n"/>
      <c r="EX50" s="6" t="n"/>
      <c r="EY50" s="6" t="n"/>
      <c r="EZ50" s="6" t="n"/>
      <c r="FA50" s="6" t="n"/>
      <c r="FB50" s="6" t="n"/>
      <c r="FC50" s="6" t="n"/>
      <c r="FD50" s="6" t="n"/>
      <c r="FE50" s="6" t="n"/>
      <c r="FF50" s="6" t="n"/>
      <c r="FG50" s="6" t="n"/>
      <c r="FH50" s="6" t="n"/>
      <c r="FI50" s="6" t="n"/>
      <c r="FJ50" s="6" t="n"/>
      <c r="FK50" s="6" t="n"/>
      <c r="FL50" s="6" t="n"/>
      <c r="FM50" s="6" t="n"/>
      <c r="FN50" s="6" t="n"/>
      <c r="FO50" s="6" t="n"/>
      <c r="FP50" s="6" t="n"/>
      <c r="FQ50" s="6" t="n"/>
      <c r="FR50" s="6" t="n"/>
      <c r="FS50" s="6" t="n"/>
      <c r="FT50" s="6" t="n"/>
      <c r="FU50" s="6" t="n"/>
      <c r="FV50" s="6" t="n"/>
      <c r="FW50" s="6" t="n"/>
      <c r="FX50" s="6" t="n"/>
      <c r="FY50" s="6" t="n"/>
      <c r="FZ50" s="6" t="n"/>
      <c r="GA50" s="6" t="n"/>
      <c r="GB50" s="6" t="n"/>
      <c r="GC50" s="6" t="n"/>
      <c r="GD50" s="6" t="n"/>
      <c r="GE50" s="6" t="n"/>
      <c r="GF50" s="6" t="n"/>
      <c r="GG50" s="6" t="n"/>
      <c r="GH50" s="6" t="n"/>
      <c r="GI50" s="6" t="n"/>
      <c r="GJ50" s="6" t="n"/>
      <c r="GK50" s="6" t="n"/>
      <c r="GL50" s="6" t="n"/>
      <c r="GM50" s="6" t="n"/>
      <c r="GN50" s="6" t="n"/>
      <c r="GO50" s="6" t="n"/>
      <c r="GP50" s="6" t="n"/>
      <c r="GQ50" s="6" t="n"/>
      <c r="GR50" s="6" t="n"/>
      <c r="GS50" s="6" t="n"/>
      <c r="GT50" s="6" t="n"/>
      <c r="GU50" s="6" t="n"/>
    </row>
    <row r="51" ht="17.25" customHeight="1" s="11">
      <c r="C51" s="184" t="n"/>
      <c r="F51" s="42" t="n"/>
      <c r="G51" s="42" t="n"/>
      <c r="H51" s="236" t="n"/>
      <c r="I51" s="184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7" t="n"/>
      <c r="EF51" s="7" t="n"/>
      <c r="EG51" s="7" t="n"/>
      <c r="EH51" s="7" t="n"/>
      <c r="EI51" s="7" t="n"/>
      <c r="EJ51" s="7" t="n"/>
      <c r="EK51" s="7" t="n"/>
      <c r="EL51" s="6" t="n"/>
      <c r="EM51" s="6" t="n"/>
      <c r="EN51" s="6" t="n"/>
      <c r="EO51" s="6" t="n"/>
      <c r="EP51" s="6" t="n"/>
      <c r="EQ51" s="6" t="n"/>
      <c r="ER51" s="6" t="n"/>
      <c r="ES51" s="6" t="n"/>
      <c r="ET51" s="6" t="n"/>
      <c r="EU51" s="6" t="n"/>
      <c r="EV51" s="6" t="n"/>
      <c r="EW51" s="6" t="n"/>
      <c r="EX51" s="6" t="n"/>
      <c r="EY51" s="6" t="n"/>
      <c r="EZ51" s="6" t="n"/>
      <c r="FA51" s="6" t="n"/>
      <c r="FB51" s="6" t="n"/>
      <c r="FC51" s="6" t="n"/>
      <c r="FD51" s="6" t="n"/>
      <c r="FE51" s="6" t="n"/>
      <c r="FF51" s="6" t="n"/>
      <c r="FG51" s="6" t="n"/>
      <c r="FH51" s="6" t="n"/>
      <c r="FI51" s="6" t="n"/>
      <c r="FJ51" s="6" t="n"/>
      <c r="FK51" s="6" t="n"/>
      <c r="FL51" s="6" t="n"/>
      <c r="FM51" s="6" t="n"/>
      <c r="FN51" s="6" t="n"/>
      <c r="FO51" s="6" t="n"/>
      <c r="FP51" s="6" t="n"/>
      <c r="FQ51" s="6" t="n"/>
      <c r="FR51" s="6" t="n"/>
      <c r="FS51" s="6" t="n"/>
      <c r="FT51" s="6" t="n"/>
      <c r="FU51" s="6" t="n"/>
      <c r="FV51" s="6" t="n"/>
      <c r="FW51" s="6" t="n"/>
      <c r="FX51" s="6" t="n"/>
      <c r="FY51" s="6" t="n"/>
      <c r="FZ51" s="6" t="n"/>
      <c r="GA51" s="6" t="n"/>
      <c r="GB51" s="6" t="n"/>
      <c r="GC51" s="6" t="n"/>
      <c r="GD51" s="6" t="n"/>
      <c r="GE51" s="6" t="n"/>
      <c r="GF51" s="6" t="n"/>
      <c r="GG51" s="6" t="n"/>
      <c r="GH51" s="6" t="n"/>
      <c r="GI51" s="6" t="n"/>
      <c r="GJ51" s="6" t="n"/>
      <c r="GK51" s="6" t="n"/>
      <c r="GL51" s="6" t="n"/>
      <c r="GM51" s="6" t="n"/>
      <c r="GN51" s="6" t="n"/>
      <c r="GO51" s="6" t="n"/>
      <c r="GP51" s="6" t="n"/>
      <c r="GQ51" s="6" t="n"/>
      <c r="GR51" s="6" t="n"/>
      <c r="GS51" s="6" t="n"/>
      <c r="GT51" s="6" t="n"/>
      <c r="GU51" s="6" t="n"/>
    </row>
    <row r="52" ht="17.25" customHeight="1" s="11">
      <c r="C52" s="184" t="n"/>
      <c r="F52" s="42" t="n"/>
      <c r="G52" s="42" t="n"/>
      <c r="H52" s="236" t="n"/>
      <c r="I52" s="184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7" t="n"/>
      <c r="EF52" s="7" t="n"/>
      <c r="EG52" s="7" t="n"/>
      <c r="EH52" s="7" t="n"/>
      <c r="EI52" s="7" t="n"/>
      <c r="EJ52" s="7" t="n"/>
      <c r="EK52" s="7" t="n"/>
      <c r="EL52" s="6" t="n"/>
      <c r="EM52" s="6" t="n"/>
      <c r="EN52" s="6" t="n"/>
      <c r="EO52" s="6" t="n"/>
      <c r="EP52" s="6" t="n"/>
      <c r="EQ52" s="6" t="n"/>
      <c r="ER52" s="6" t="n"/>
      <c r="ES52" s="6" t="n"/>
      <c r="ET52" s="6" t="n"/>
      <c r="EU52" s="6" t="n"/>
      <c r="EV52" s="6" t="n"/>
      <c r="EW52" s="6" t="n"/>
      <c r="EX52" s="6" t="n"/>
      <c r="EY52" s="6" t="n"/>
      <c r="EZ52" s="6" t="n"/>
      <c r="FA52" s="6" t="n"/>
      <c r="FB52" s="6" t="n"/>
      <c r="FC52" s="6" t="n"/>
      <c r="FD52" s="6" t="n"/>
      <c r="FE52" s="6" t="n"/>
      <c r="FF52" s="6" t="n"/>
      <c r="FG52" s="6" t="n"/>
      <c r="FH52" s="6" t="n"/>
      <c r="FI52" s="6" t="n"/>
      <c r="FJ52" s="6" t="n"/>
      <c r="FK52" s="6" t="n"/>
      <c r="FL52" s="6" t="n"/>
      <c r="FM52" s="6" t="n"/>
      <c r="FN52" s="6" t="n"/>
      <c r="FO52" s="6" t="n"/>
      <c r="FP52" s="6" t="n"/>
      <c r="FQ52" s="6" t="n"/>
      <c r="FR52" s="6" t="n"/>
      <c r="FS52" s="6" t="n"/>
      <c r="FT52" s="6" t="n"/>
      <c r="FU52" s="6" t="n"/>
      <c r="FV52" s="6" t="n"/>
      <c r="FW52" s="6" t="n"/>
      <c r="FX52" s="6" t="n"/>
      <c r="FY52" s="6" t="n"/>
      <c r="FZ52" s="6" t="n"/>
      <c r="GA52" s="6" t="n"/>
      <c r="GB52" s="6" t="n"/>
      <c r="GC52" s="6" t="n"/>
      <c r="GD52" s="6" t="n"/>
      <c r="GE52" s="6" t="n"/>
      <c r="GF52" s="6" t="n"/>
      <c r="GG52" s="6" t="n"/>
      <c r="GH52" s="6" t="n"/>
      <c r="GI52" s="6" t="n"/>
      <c r="GJ52" s="6" t="n"/>
      <c r="GK52" s="6" t="n"/>
      <c r="GL52" s="6" t="n"/>
      <c r="GM52" s="6" t="n"/>
      <c r="GN52" s="6" t="n"/>
      <c r="GO52" s="6" t="n"/>
      <c r="GP52" s="6" t="n"/>
      <c r="GQ52" s="6" t="n"/>
      <c r="GR52" s="6" t="n"/>
      <c r="GS52" s="6" t="n"/>
      <c r="GT52" s="6" t="n"/>
      <c r="GU52" s="6" t="n"/>
    </row>
    <row r="53" ht="17.25" customHeight="1" s="11">
      <c r="C53" s="184" t="n"/>
      <c r="D53" s="184" t="n"/>
      <c r="E53" s="54" t="n"/>
      <c r="F53" s="38" t="n"/>
      <c r="G53" s="38" t="n"/>
      <c r="H53" s="236" t="n"/>
      <c r="I53" s="184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7" t="n"/>
      <c r="EF53" s="7" t="n"/>
      <c r="EG53" s="7" t="n"/>
      <c r="EH53" s="7" t="n"/>
      <c r="EI53" s="7" t="n"/>
      <c r="EJ53" s="7" t="n"/>
      <c r="EK53" s="7" t="n"/>
      <c r="EL53" s="6" t="n"/>
      <c r="EM53" s="6" t="n"/>
      <c r="EN53" s="6" t="n"/>
      <c r="EO53" s="6" t="n"/>
      <c r="EP53" s="6" t="n"/>
      <c r="EQ53" s="6" t="n"/>
      <c r="ER53" s="6" t="n"/>
      <c r="ES53" s="6" t="n"/>
      <c r="ET53" s="6" t="n"/>
      <c r="EU53" s="6" t="n"/>
      <c r="EV53" s="6" t="n"/>
      <c r="EW53" s="6" t="n"/>
      <c r="EX53" s="6" t="n"/>
      <c r="EY53" s="6" t="n"/>
      <c r="EZ53" s="6" t="n"/>
      <c r="FA53" s="6" t="n"/>
      <c r="FB53" s="6" t="n"/>
      <c r="FC53" s="6" t="n"/>
      <c r="FD53" s="6" t="n"/>
      <c r="FE53" s="6" t="n"/>
      <c r="FF53" s="6" t="n"/>
      <c r="FG53" s="6" t="n"/>
      <c r="FH53" s="6" t="n"/>
      <c r="FI53" s="6" t="n"/>
      <c r="FJ53" s="6" t="n"/>
      <c r="FK53" s="6" t="n"/>
      <c r="FL53" s="6" t="n"/>
      <c r="FM53" s="6" t="n"/>
      <c r="FN53" s="6" t="n"/>
      <c r="FO53" s="6" t="n"/>
      <c r="FP53" s="6" t="n"/>
      <c r="FQ53" s="6" t="n"/>
      <c r="FR53" s="6" t="n"/>
      <c r="FS53" s="6" t="n"/>
      <c r="FT53" s="6" t="n"/>
      <c r="FU53" s="6" t="n"/>
      <c r="FV53" s="6" t="n"/>
      <c r="FW53" s="6" t="n"/>
      <c r="FX53" s="6" t="n"/>
      <c r="FY53" s="6" t="n"/>
      <c r="FZ53" s="6" t="n"/>
      <c r="GA53" s="6" t="n"/>
      <c r="GB53" s="6" t="n"/>
      <c r="GC53" s="6" t="n"/>
      <c r="GD53" s="6" t="n"/>
      <c r="GE53" s="6" t="n"/>
      <c r="GF53" s="6" t="n"/>
      <c r="GG53" s="6" t="n"/>
      <c r="GH53" s="6" t="n"/>
      <c r="GI53" s="6" t="n"/>
      <c r="GJ53" s="6" t="n"/>
      <c r="GK53" s="6" t="n"/>
      <c r="GL53" s="6" t="n"/>
      <c r="GM53" s="6" t="n"/>
      <c r="GN53" s="6" t="n"/>
      <c r="GO53" s="6" t="n"/>
      <c r="GP53" s="6" t="n"/>
      <c r="GQ53" s="6" t="n"/>
      <c r="GR53" s="6" t="n"/>
      <c r="GS53" s="6" t="n"/>
      <c r="GT53" s="6" t="n"/>
      <c r="GU53" s="6" t="n"/>
    </row>
    <row r="54" ht="17.25" customHeight="1" s="11">
      <c r="C54" s="184" t="n"/>
      <c r="D54" s="184" t="n"/>
      <c r="E54" s="54" t="n"/>
      <c r="F54" s="38" t="n"/>
      <c r="G54" s="38" t="n"/>
      <c r="H54" s="236" t="n"/>
      <c r="I54" s="184" t="n"/>
      <c r="J54" s="237" t="n"/>
      <c r="K54" s="58" t="n"/>
      <c r="L54" s="238" t="n"/>
      <c r="M54" s="58" t="n"/>
      <c r="N54" s="23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7" t="n"/>
      <c r="EF54" s="7" t="n"/>
      <c r="EG54" s="7" t="n"/>
      <c r="EH54" s="7" t="n"/>
      <c r="EI54" s="7" t="n"/>
      <c r="EJ54" s="7" t="n"/>
      <c r="EK54" s="7" t="n"/>
      <c r="EL54" s="6" t="n"/>
      <c r="EM54" s="6" t="n"/>
      <c r="EN54" s="6" t="n"/>
      <c r="EO54" s="6" t="n"/>
      <c r="EP54" s="6" t="n"/>
      <c r="EQ54" s="6" t="n"/>
      <c r="ER54" s="6" t="n"/>
      <c r="ES54" s="6" t="n"/>
      <c r="ET54" s="6" t="n"/>
      <c r="EU54" s="6" t="n"/>
      <c r="EV54" s="6" t="n"/>
      <c r="EW54" s="6" t="n"/>
      <c r="EX54" s="6" t="n"/>
      <c r="EY54" s="6" t="n"/>
      <c r="EZ54" s="6" t="n"/>
      <c r="FA54" s="6" t="n"/>
      <c r="FB54" s="6" t="n"/>
      <c r="FC54" s="6" t="n"/>
      <c r="FD54" s="6" t="n"/>
      <c r="FE54" s="6" t="n"/>
      <c r="FF54" s="6" t="n"/>
      <c r="FG54" s="6" t="n"/>
      <c r="FH54" s="6" t="n"/>
      <c r="FI54" s="6" t="n"/>
      <c r="FJ54" s="6" t="n"/>
      <c r="FK54" s="6" t="n"/>
      <c r="FL54" s="6" t="n"/>
      <c r="FM54" s="6" t="n"/>
      <c r="FN54" s="6" t="n"/>
      <c r="FO54" s="6" t="n"/>
      <c r="FP54" s="6" t="n"/>
      <c r="FQ54" s="6" t="n"/>
      <c r="FR54" s="6" t="n"/>
      <c r="FS54" s="6" t="n"/>
      <c r="FT54" s="6" t="n"/>
      <c r="FU54" s="6" t="n"/>
      <c r="FV54" s="6" t="n"/>
      <c r="FW54" s="6" t="n"/>
      <c r="FX54" s="6" t="n"/>
      <c r="FY54" s="6" t="n"/>
      <c r="FZ54" s="6" t="n"/>
      <c r="GA54" s="6" t="n"/>
      <c r="GB54" s="6" t="n"/>
      <c r="GC54" s="6" t="n"/>
      <c r="GD54" s="6" t="n"/>
      <c r="GE54" s="6" t="n"/>
      <c r="GF54" s="6" t="n"/>
      <c r="GG54" s="6" t="n"/>
      <c r="GH54" s="6" t="n"/>
      <c r="GI54" s="6" t="n"/>
      <c r="GJ54" s="6" t="n"/>
      <c r="GK54" s="6" t="n"/>
      <c r="GL54" s="6" t="n"/>
      <c r="GM54" s="6" t="n"/>
      <c r="GN54" s="6" t="n"/>
      <c r="GO54" s="6" t="n"/>
      <c r="GP54" s="6" t="n"/>
      <c r="GQ54" s="6" t="n"/>
      <c r="GR54" s="6" t="n"/>
      <c r="GS54" s="6" t="n"/>
      <c r="GT54" s="6" t="n"/>
      <c r="GU54" s="6" t="n"/>
    </row>
    <row r="55" ht="18.75" customHeight="1" s="11">
      <c r="C55" s="184" t="n"/>
      <c r="F55" s="42" t="n"/>
      <c r="G55" s="42" t="n"/>
      <c r="H55" s="236" t="n"/>
      <c r="I55" s="184" t="n"/>
      <c r="J55" s="237" t="n"/>
      <c r="K55" s="58" t="n"/>
      <c r="L55" s="238" t="n"/>
      <c r="M55" s="58" t="n"/>
      <c r="N55" s="23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7" t="n"/>
      <c r="EF55" s="7" t="n"/>
      <c r="EG55" s="7" t="n"/>
      <c r="EH55" s="7" t="n"/>
      <c r="EI55" s="7" t="n"/>
      <c r="EJ55" s="7" t="n"/>
      <c r="EK55" s="7" t="n"/>
      <c r="EL55" s="6" t="n"/>
      <c r="EM55" s="6" t="n"/>
      <c r="EN55" s="6" t="n"/>
      <c r="EO55" s="6" t="n"/>
      <c r="EP55" s="6" t="n"/>
      <c r="EQ55" s="6" t="n"/>
      <c r="ER55" s="6" t="n"/>
      <c r="ES55" s="6" t="n"/>
      <c r="ET55" s="6" t="n"/>
      <c r="EU55" s="6" t="n"/>
      <c r="EV55" s="6" t="n"/>
      <c r="EW55" s="6" t="n"/>
      <c r="EX55" s="6" t="n"/>
      <c r="EY55" s="6" t="n"/>
      <c r="EZ55" s="6" t="n"/>
      <c r="FA55" s="6" t="n"/>
      <c r="FB55" s="6" t="n"/>
      <c r="FC55" s="6" t="n"/>
      <c r="FD55" s="6" t="n"/>
      <c r="FE55" s="6" t="n"/>
      <c r="FF55" s="6" t="n"/>
      <c r="FG55" s="6" t="n"/>
      <c r="FH55" s="6" t="n"/>
      <c r="FI55" s="6" t="n"/>
      <c r="FJ55" s="6" t="n"/>
      <c r="FK55" s="6" t="n"/>
      <c r="FL55" s="6" t="n"/>
      <c r="FM55" s="6" t="n"/>
      <c r="FN55" s="6" t="n"/>
      <c r="FO55" s="6" t="n"/>
      <c r="FP55" s="6" t="n"/>
      <c r="FQ55" s="6" t="n"/>
      <c r="FR55" s="6" t="n"/>
      <c r="FS55" s="6" t="n"/>
      <c r="FT55" s="6" t="n"/>
      <c r="FU55" s="6" t="n"/>
      <c r="FV55" s="6" t="n"/>
      <c r="FW55" s="6" t="n"/>
      <c r="FX55" s="6" t="n"/>
      <c r="FY55" s="6" t="n"/>
      <c r="FZ55" s="6" t="n"/>
      <c r="GA55" s="6" t="n"/>
      <c r="GB55" s="6" t="n"/>
      <c r="GC55" s="6" t="n"/>
      <c r="GD55" s="6" t="n"/>
      <c r="GE55" s="6" t="n"/>
      <c r="GF55" s="6" t="n"/>
      <c r="GG55" s="6" t="n"/>
      <c r="GH55" s="6" t="n"/>
      <c r="GI55" s="6" t="n"/>
      <c r="GJ55" s="6" t="n"/>
      <c r="GK55" s="6" t="n"/>
      <c r="GL55" s="6" t="n"/>
      <c r="GM55" s="6" t="n"/>
      <c r="GN55" s="6" t="n"/>
      <c r="GO55" s="6" t="n"/>
      <c r="GP55" s="6" t="n"/>
      <c r="GQ55" s="6" t="n"/>
      <c r="GR55" s="6" t="n"/>
      <c r="GS55" s="6" t="n"/>
      <c r="GT55" s="6" t="n"/>
      <c r="GU55" s="6" t="n"/>
    </row>
    <row r="56" ht="63.75" customHeight="1" s="11">
      <c r="C56" s="6" t="n"/>
      <c r="D56" s="6" t="n"/>
      <c r="E56" s="46" t="n"/>
      <c r="F56" s="6" t="n"/>
      <c r="G56" s="6" t="n"/>
      <c r="H56" s="236" t="n"/>
      <c r="I56" s="184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7" t="n"/>
      <c r="EF56" s="7" t="n"/>
      <c r="EG56" s="7" t="n"/>
      <c r="EH56" s="7" t="n"/>
      <c r="EI56" s="7" t="n"/>
      <c r="EJ56" s="7" t="n"/>
      <c r="EK56" s="7" t="n"/>
      <c r="EL56" s="6" t="n"/>
      <c r="EM56" s="6" t="n"/>
      <c r="EN56" s="6" t="n"/>
      <c r="EO56" s="6" t="n"/>
      <c r="EP56" s="6" t="n"/>
      <c r="EQ56" s="6" t="n"/>
      <c r="ER56" s="6" t="n"/>
      <c r="ES56" s="6" t="n"/>
      <c r="ET56" s="6" t="n"/>
      <c r="EU56" s="6" t="n"/>
      <c r="EV56" s="6" t="n"/>
      <c r="EW56" s="6" t="n"/>
      <c r="EX56" s="6" t="n"/>
      <c r="EY56" s="6" t="n"/>
      <c r="EZ56" s="6" t="n"/>
      <c r="FA56" s="6" t="n"/>
      <c r="FB56" s="6" t="n"/>
      <c r="FC56" s="6" t="n"/>
      <c r="FD56" s="6" t="n"/>
      <c r="FE56" s="6" t="n"/>
      <c r="FF56" s="6" t="n"/>
      <c r="FG56" s="6" t="n"/>
      <c r="FH56" s="6" t="n"/>
      <c r="FI56" s="6" t="n"/>
      <c r="FJ56" s="6" t="n"/>
      <c r="FK56" s="6" t="n"/>
      <c r="FL56" s="6" t="n"/>
      <c r="FM56" s="6" t="n"/>
      <c r="FN56" s="6" t="n"/>
      <c r="FO56" s="6" t="n"/>
      <c r="FP56" s="6" t="n"/>
      <c r="FQ56" s="6" t="n"/>
      <c r="FR56" s="6" t="n"/>
      <c r="FS56" s="6" t="n"/>
      <c r="FT56" s="6" t="n"/>
      <c r="FU56" s="6" t="n"/>
      <c r="FV56" s="6" t="n"/>
      <c r="FW56" s="6" t="n"/>
      <c r="FX56" s="6" t="n"/>
      <c r="FY56" s="6" t="n"/>
      <c r="FZ56" s="6" t="n"/>
      <c r="GA56" s="6" t="n"/>
      <c r="GB56" s="6" t="n"/>
      <c r="GC56" s="6" t="n"/>
      <c r="GD56" s="6" t="n"/>
      <c r="GE56" s="6" t="n"/>
      <c r="GF56" s="6" t="n"/>
      <c r="GG56" s="6" t="n"/>
      <c r="GH56" s="6" t="n"/>
      <c r="GI56" s="6" t="n"/>
      <c r="GJ56" s="6" t="n"/>
      <c r="GK56" s="6" t="n"/>
      <c r="GL56" s="6" t="n"/>
      <c r="GM56" s="6" t="n"/>
      <c r="GN56" s="6" t="n"/>
      <c r="GO56" s="6" t="n"/>
      <c r="GP56" s="6" t="n"/>
      <c r="GQ56" s="6" t="n"/>
      <c r="GR56" s="6" t="n"/>
      <c r="GS56" s="6" t="n"/>
      <c r="GT56" s="6" t="n"/>
      <c r="GU56" s="6" t="n"/>
    </row>
    <row r="57" ht="17.25" customHeight="1" s="11">
      <c r="C57" s="6" t="n"/>
      <c r="D57" s="6" t="n"/>
      <c r="E57" s="46" t="n"/>
      <c r="F57" s="6" t="n"/>
      <c r="G57" s="6" t="n"/>
      <c r="H57" s="6" t="n"/>
      <c r="I57" s="6" t="n"/>
      <c r="J57" s="239" t="n"/>
      <c r="K57" s="59" t="n"/>
      <c r="L57" s="240" t="n"/>
      <c r="M57" s="6" t="n"/>
      <c r="N57" s="239" t="n"/>
      <c r="GV57" s="5" t="n"/>
      <c r="GW57" s="5" t="n"/>
      <c r="GX57" s="5" t="n"/>
    </row>
    <row r="58" ht="17.25" customHeight="1" s="11">
      <c r="C58" s="5" t="n"/>
      <c r="D58" s="5" t="n"/>
      <c r="H58" s="6" t="n"/>
      <c r="I58" s="6" t="n"/>
      <c r="J58" s="239" t="n"/>
      <c r="K58" s="59" t="n"/>
      <c r="L58" s="240" t="n"/>
      <c r="M58" s="6" t="n"/>
      <c r="N58" s="239" t="n"/>
      <c r="GV58" s="5" t="n"/>
      <c r="GW58" s="5" t="n"/>
      <c r="GX58" s="5" t="n"/>
      <c r="GY58" s="5" t="n"/>
      <c r="GZ58" s="5" t="n"/>
      <c r="HA58" s="5" t="n"/>
      <c r="HB58" s="5" t="n"/>
      <c r="HC58" s="5" t="n"/>
      <c r="HD58" s="5" t="n"/>
      <c r="HE58" s="5" t="n"/>
    </row>
    <row r="59" ht="17.25" customHeight="1" s="11">
      <c r="M59" s="47" t="n"/>
      <c r="GV59" s="5" t="n"/>
      <c r="GW59" s="5" t="n"/>
      <c r="GX59" s="5" t="n"/>
      <c r="GY59" s="5" t="n"/>
      <c r="GZ59" s="5" t="n"/>
      <c r="HA59" s="5" t="n"/>
      <c r="HB59" s="5" t="n"/>
    </row>
  </sheetData>
  <autoFilter ref="A12:HE26"/>
  <mergeCells count="16">
    <mergeCell ref="I9:M9"/>
    <mergeCell ref="I7:N7"/>
    <mergeCell ref="B9:E9"/>
    <mergeCell ref="B7:F7"/>
    <mergeCell ref="C55:E55"/>
    <mergeCell ref="I56:N56"/>
    <mergeCell ref="B5:N5"/>
    <mergeCell ref="B4:N4"/>
    <mergeCell ref="I8:N8"/>
    <mergeCell ref="B8:F8"/>
    <mergeCell ref="B3:N3"/>
    <mergeCell ref="M6:N6"/>
    <mergeCell ref="I10:N10"/>
    <mergeCell ref="B10:F10"/>
    <mergeCell ref="B2:N2"/>
    <mergeCell ref="B1:N1"/>
  </mergeCells>
  <hyperlinks>
    <hyperlink xmlns:r="http://schemas.openxmlformats.org/officeDocument/2006/relationships" ref="B4" r:id="rId1"/>
    <hyperlink xmlns:r="http://schemas.openxmlformats.org/officeDocument/2006/relationships" ref="C31" display="http://www.zhongfanghz.cn/" r:id="rId2"/>
    <hyperlink xmlns:r="http://schemas.openxmlformats.org/officeDocument/2006/relationships" ref="I32" display="http://www.zhongfanghz.cn/" r:id="rId3"/>
  </hyperlinks>
  <pageMargins left="0.28" right="0.28" top="0.31" bottom="0.98" header="0.51" footer="0.51"/>
  <pageSetup orientation="portrait" paperSize="9" scale="63"/>
  <colBreaks count="1" manualBreakCount="1">
    <brk id="14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萝卜家园</dc:creator>
  <dcterms:created xsi:type="dcterms:W3CDTF">2009-12-31T05:51:11Z</dcterms:created>
  <dcterms:modified xsi:type="dcterms:W3CDTF">2026-09-03T11:46:14Z</dcterms:modified>
  <cp:lastModifiedBy>RDZharinovK</cp:lastModifiedBy>
  <cp:revision>1</cp:revision>
  <cp:lastPrinted>2026-01-30T10:49:43Z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2052-11.1.0.10938</vt:lpwstr>
  </property>
  <property name="ICV" fmtid="{D5CDD505-2E9C-101B-9397-08002B2CF9AE}" pid="3">
    <vt:lpwstr>3AB6D4EAEAE64BDD9CB46DFB4BC83063</vt:lpwstr>
  </property>
</Properties>
</file>