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共享文件夹\本周箱单\26-626清关RMB\26-626-2清关RMB\"/>
    </mc:Choice>
  </mc:AlternateContent>
  <bookViews>
    <workbookView windowWidth="24000" windowHeight="9555"/>
  </bookViews>
  <sheets>
    <sheet name="Sheet1" sheetId="1" r:id="rId1"/>
  </sheets>
  <definedNames>
    <definedName name="_xlnm._FilterDatabase" localSheetId="0" hidden="1">Sheet1!$A$9:$L$16</definedName>
    <definedName name="_xlnm.Print_Area" localSheetId="0">Sheet1!$A$1:$J$33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<sst xmlns="http://schemas.openxmlformats.org/spreadsheetml/2006/main" count="154" uniqueCount="44">
  <si>
    <t>杭 州 中 纺 进 出 口 有 限 公 司</t>
  </si>
  <si>
    <t/>
  </si>
  <si>
    <t>HANGZHOU ZHONGFANG TEXTILE IMP./EXP. CO., LTD.</t>
  </si>
  <si>
    <t>COMMERCIAL  INVOICE</t>
  </si>
  <si>
    <t>Buyer:“SM REGIONTEKSTIL'” LLC
143421, Moscow region, Krasnogorsk city, ter. Baltiya road, km 21, h. 2, str. 1, room 1
OGRN 1175024014472    TIN 5032281280    KPP 502401001</t>
  </si>
  <si>
    <t>EX-WORK HANGZHOU</t>
  </si>
  <si>
    <t>INV.NO.</t>
  </si>
  <si>
    <t>ZFRMB26148-626-2</t>
  </si>
  <si>
    <t>Contract No SM-LU2 dd 23/11/2018</t>
  </si>
  <si>
    <t>DATE:</t>
  </si>
  <si>
    <t>Aug.19,2026</t>
  </si>
  <si>
    <t>NO.</t>
  </si>
  <si>
    <t>DESIGN</t>
  </si>
  <si>
    <t>H.S. CODE</t>
  </si>
  <si>
    <t>ROLLS</t>
  </si>
  <si>
    <t>WIDTH M</t>
  </si>
  <si>
    <t>TOTAL M2</t>
  </si>
  <si>
    <t>METERS</t>
  </si>
  <si>
    <t>UNIT MT/PIECE</t>
  </si>
  <si>
    <t>UNIT PRICE(RMB)</t>
  </si>
  <si>
    <t>AMOUNT(RMB)</t>
  </si>
  <si>
    <t>NAPPA 000</t>
  </si>
  <si>
    <t>5903102000</t>
  </si>
  <si>
    <t>meters</t>
  </si>
  <si>
    <t>NAPPA 110</t>
  </si>
  <si>
    <t>NAPPA 130</t>
  </si>
  <si>
    <t>NAPPA 131</t>
  </si>
  <si>
    <t>NAPPA 410</t>
  </si>
  <si>
    <t>NAPPA 490</t>
  </si>
  <si>
    <t>NAPPA 692</t>
  </si>
  <si>
    <t>NAPPA 793</t>
  </si>
  <si>
    <t>NAPPA 950</t>
  </si>
  <si>
    <t>NAPPA 968</t>
  </si>
  <si>
    <t>NAPPA 990</t>
  </si>
  <si>
    <t>NAPPA 993</t>
  </si>
  <si>
    <t>ARTIFICIAL LEATHER
NAPPA</t>
  </si>
  <si>
    <t>Magic 01</t>
  </si>
  <si>
    <t>5903202000</t>
  </si>
  <si>
    <t>Magic 02</t>
  </si>
  <si>
    <t>Magic 12</t>
  </si>
  <si>
    <t>Magic 17</t>
  </si>
  <si>
    <t>ARTIFICIAL LEATHER
Magic</t>
  </si>
  <si>
    <t>Magic 20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</si>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</sst>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33">
    <font>
      <sz val="11"/>
      <color theme="1"/>
      <name val="宋体"/>
      <charset val="134"/>
    </font>
    <font>
      <sz val="11"/>
      <name val="宋体"/>
      <charset val="134"/>
    </font>
    <font>
      <b/>
      <sz val="24"/>
      <name val="宋体"/>
      <charset val="134"/>
    </font>
    <font>
      <sz val="10"/>
      <name val="宋体"/>
      <charset val="134"/>
    </font>
    <font>
      <sz val="16"/>
      <name val="Times New Roman"/>
      <charset val="134"/>
    </font>
    <font>
      <b/>
      <u/>
      <sz val="28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0"/>
      <name val="Times New Roman"/>
      <charset val="134"/>
    </font>
    <font>
      <sz val="12"/>
      <name val="Times New Roman"/>
      <charset val="134"/>
    </font>
    <font>
      <sz val="9"/>
      <name val="Times New Roman"/>
      <charset val="134"/>
    </font>
    <font>
      <b/>
      <sz val="10"/>
      <name val="Times New Roman"/>
      <charset val="134"/>
    </font>
    <font>
      <sz val="12"/>
      <name val="宋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CC0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>
      <alignment vertical="center"/>
    </xf>
    <xf numFmtId="44" fontId="13" fillId="0" borderId="0">
      <alignment vertical="center"/>
    </xf>
    <xf numFmtId="9" fontId="13" fillId="0" borderId="0">
      <alignment vertical="center"/>
    </xf>
    <xf numFmtId="41" fontId="13" fillId="0" borderId="0">
      <alignment vertical="center"/>
    </xf>
    <xf numFmtId="42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3" fillId="3" borderId="8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9">
      <alignment vertical="center"/>
    </xf>
    <xf numFmtId="0" fontId="20" fillId="0" borderId="9">
      <alignment vertical="center"/>
    </xf>
    <xf numFmtId="0" fontId="21" fillId="0" borderId="10">
      <alignment vertical="center"/>
    </xf>
    <xf numFmtId="0" fontId="21" fillId="0" borderId="0">
      <alignment vertical="center"/>
    </xf>
    <xf numFmtId="0" fontId="22" fillId="4" borderId="11">
      <alignment vertical="center"/>
    </xf>
    <xf numFmtId="0" fontId="23" fillId="5" borderId="12">
      <alignment vertical="center"/>
    </xf>
    <xf numFmtId="0" fontId="24" fillId="5" borderId="11">
      <alignment vertical="center"/>
    </xf>
    <xf numFmtId="0" fontId="25" fillId="6" borderId="13">
      <alignment vertical="center"/>
    </xf>
    <xf numFmtId="0" fontId="26" fillId="0" borderId="14">
      <alignment vertical="center"/>
    </xf>
    <xf numFmtId="0" fontId="27" fillId="0" borderId="15">
      <alignment vertical="center"/>
    </xf>
    <xf numFmtId="0" fontId="28" fillId="7" borderId="0">
      <alignment vertical="center"/>
    </xf>
    <xf numFmtId="0" fontId="29" fillId="8" borderId="0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2" fillId="11" borderId="0">
      <alignment vertical="center"/>
    </xf>
    <xf numFmtId="0" fontId="32" fillId="12" borderId="0">
      <alignment vertical="center"/>
    </xf>
    <xf numFmtId="0" fontId="31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1" fillId="33" borderId="0">
      <alignment vertical="center"/>
    </xf>
    <xf numFmtId="0" fontId="0" fillId="0" borderId="0"/>
  </cellStyleXfs>
  <cellXfs count="38">
    <xf numFmtId="0" fontId="0" fillId="0" borderId="0" xfId="49"/>
    <xf numFmtId="0" fontId="1" fillId="0" borderId="0" xfId="0" applyFont="1" applyAlignment="1"/>
    <xf numFmtId="0" fontId="1" fillId="0" borderId="0" xfId="49" applyFont="1"/>
    <xf numFmtId="0" fontId="2" fillId="0" borderId="0" xfId="49" applyFont="1" applyAlignment="1">
      <alignment horizontal="center"/>
    </xf>
    <xf numFmtId="0" fontId="3" fillId="0" borderId="0" xfId="49" applyFont="1" applyAlignment="1">
      <alignment vertical="center"/>
    </xf>
    <xf numFmtId="0" fontId="4" fillId="0" borderId="0" xfId="49" applyFont="1" applyAlignment="1">
      <alignment horizontal="center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horizontal="left" vertical="top" wrapText="1"/>
    </xf>
    <xf numFmtId="0" fontId="7" fillId="0" borderId="0" xfId="49" applyFont="1" applyAlignment="1">
      <alignment horizontal="left" vertical="center"/>
    </xf>
    <xf numFmtId="0" fontId="6" fillId="0" borderId="0" xfId="49" applyFont="1" applyAlignment="1">
      <alignment horizontal="center"/>
    </xf>
    <xf numFmtId="0" fontId="8" fillId="0" borderId="1" xfId="49" applyFont="1" applyBorder="1" applyAlignment="1">
      <alignment horizontal="left"/>
    </xf>
    <xf numFmtId="0" fontId="8" fillId="0" borderId="1" xfId="49" applyFont="1" applyBorder="1" applyAlignment="1">
      <alignment horizontal="right"/>
    </xf>
    <xf numFmtId="0" fontId="7" fillId="0" borderId="0" xfId="49" applyFont="1" applyAlignment="1">
      <alignment horizontal="left" vertical="center" wrapText="1"/>
    </xf>
    <xf numFmtId="0" fontId="1" fillId="0" borderId="0" xfId="49" applyFont="1" applyAlignment="1">
      <alignment vertical="center"/>
    </xf>
    <xf numFmtId="0" fontId="6" fillId="0" borderId="0" xfId="49" applyFont="1"/>
    <xf numFmtId="0" fontId="9" fillId="0" borderId="0" xfId="49" applyFont="1"/>
    <xf numFmtId="0" fontId="9" fillId="0" borderId="0" xfId="49" applyFont="1" applyAlignment="1">
      <alignment horizontal="right"/>
    </xf>
    <xf numFmtId="0" fontId="10" fillId="0" borderId="2" xfId="49" applyFont="1" applyBorder="1" applyAlignment="1">
      <alignment horizontal="center"/>
    </xf>
    <xf numFmtId="0" fontId="10" fillId="0" borderId="2" xfId="49" applyFont="1" applyBorder="1" applyAlignment="1">
      <alignment horizontal="center" wrapText="1"/>
    </xf>
    <xf numFmtId="0" fontId="10" fillId="0" borderId="3" xfId="49" applyFont="1" applyBorder="1" applyAlignment="1">
      <alignment horizontal="center" wrapText="1"/>
    </xf>
    <xf numFmtId="0" fontId="3" fillId="0" borderId="0" xfId="49" applyFont="1" applyAlignment="1">
      <alignment horizontal="center" vertical="center"/>
    </xf>
    <xf numFmtId="0" fontId="8" fillId="0" borderId="3" xfId="49" applyFont="1" applyBorder="1" applyAlignment="1">
      <alignment horizontal="center"/>
    </xf>
    <xf numFmtId="0" fontId="8" fillId="0" borderId="3" xfId="49" applyFont="1" applyBorder="1" applyAlignment="1">
      <alignment horizontal="center" wrapText="1"/>
    </xf>
    <xf numFmtId="176" fontId="8" fillId="0" borderId="3" xfId="49" applyNumberFormat="1" applyFont="1" applyBorder="1" applyAlignment="1">
      <alignment horizontal="center" wrapText="1"/>
    </xf>
    <xf numFmtId="177" fontId="8" fillId="0" borderId="3" xfId="49" applyNumberFormat="1" applyFont="1" applyBorder="1" applyAlignment="1">
      <alignment horizontal="center"/>
    </xf>
    <xf numFmtId="0" fontId="8" fillId="2" borderId="3" xfId="49" applyFont="1" applyFill="1" applyBorder="1" applyAlignment="1">
      <alignment horizontal="center"/>
    </xf>
    <xf numFmtId="0" fontId="8" fillId="2" borderId="3" xfId="49" applyFont="1" applyFill="1" applyBorder="1" applyAlignment="1">
      <alignment horizontal="center" wrapText="1"/>
    </xf>
    <xf numFmtId="176" fontId="8" fillId="2" borderId="3" xfId="49" applyNumberFormat="1" applyFont="1" applyFill="1" applyBorder="1" applyAlignment="1">
      <alignment horizontal="center"/>
    </xf>
    <xf numFmtId="177" fontId="8" fillId="2" borderId="3" xfId="49" applyNumberFormat="1" applyFont="1" applyFill="1" applyBorder="1" applyAlignment="1">
      <alignment horizontal="center"/>
    </xf>
    <xf numFmtId="0" fontId="11" fillId="0" borderId="4" xfId="49" applyFont="1" applyBorder="1" applyAlignment="1">
      <alignment horizontal="center"/>
    </xf>
    <xf numFmtId="0" fontId="11" fillId="0" borderId="5" xfId="49" applyFont="1" applyBorder="1" applyAlignment="1">
      <alignment horizontal="center"/>
    </xf>
    <xf numFmtId="0" fontId="11" fillId="0" borderId="6" xfId="49" applyFont="1" applyBorder="1" applyAlignment="1">
      <alignment horizontal="center"/>
    </xf>
    <xf numFmtId="176" fontId="11" fillId="0" borderId="5" xfId="49" applyNumberFormat="1" applyFont="1" applyBorder="1" applyAlignment="1">
      <alignment horizontal="center"/>
    </xf>
    <xf numFmtId="177" fontId="11" fillId="0" borderId="5" xfId="49" applyNumberFormat="1" applyFont="1" applyBorder="1" applyAlignment="1">
      <alignment horizontal="center"/>
    </xf>
    <xf numFmtId="176" fontId="11" fillId="0" borderId="7" xfId="49" applyNumberFormat="1" applyFont="1" applyBorder="1" applyAlignment="1">
      <alignment horizontal="center"/>
    </xf>
    <xf numFmtId="0" fontId="9" fillId="0" borderId="0" xfId="49" applyFont="1" applyAlignment="1">
      <alignment horizontal="center"/>
    </xf>
    <xf numFmtId="0" fontId="12" fillId="0" borderId="0" xfId="49" applyFont="1" applyAlignment="1">
      <alignment horizontal="right" vertical="center"/>
    </xf>
    <xf numFmtId="0" fontId="6" fillId="0" borderId="0" xfId="49" applyFont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workbookViewId="0">
      <selection activeCell="N18" sqref="N18"/>
    </sheetView>
  </sheetViews>
  <sheetFormatPr defaultColWidth="9" defaultRowHeight="13.5"/>
  <cols>
    <col min="1" max="1" width="4.5" style="1" customWidth="1"/>
    <col min="2" max="2" width="20.1416666666667" style="1" customWidth="1"/>
    <col min="3" max="3" width="10.625" style="1" customWidth="1"/>
    <col min="4" max="4" width="6.25" style="1" customWidth="1"/>
    <col min="5" max="5" width="8.125" style="1" customWidth="1"/>
    <col min="6" max="6" width="8.875" style="1" customWidth="1"/>
    <col min="7" max="7" width="10" style="1" customWidth="1"/>
    <col min="8" max="8" width="11.75" style="1" customWidth="1"/>
    <col min="9" max="9" width="14.375" style="1" customWidth="1"/>
    <col min="10" max="10" width="15" style="1" customWidth="1"/>
    <col min="11" max="11" width="9" style="1" customWidth="1"/>
    <col min="12" max="12" width="7.5" style="1" customWidth="1"/>
    <col min="13" max="16384" width="9" style="2"/>
  </cols>
  <sheetData>
    <row r="1" ht="31.5" spans="1:12">
      <c r="A1" s="3" t="s">
        <v>0</v>
      </c>
      <c r="K1" s="4"/>
      <c r="L1" s="4" t="s">
        <v>1</v>
      </c>
    </row>
    <row r="2" ht="20.25" spans="1:12">
      <c r="A2" s="5" t="s">
        <v>2</v>
      </c>
      <c r="K2" s="4"/>
      <c r="L2" s="4" t="s">
        <v>1</v>
      </c>
    </row>
    <row r="3" ht="10.5" customHeight="1" spans="1:12">
      <c r="A3" s="5" t="s">
        <v>1</v>
      </c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4"/>
      <c r="L3" s="4" t="s">
        <v>1</v>
      </c>
    </row>
    <row r="4" ht="30" customHeight="1" spans="1:12">
      <c r="A4" s="6" t="s">
        <v>3</v>
      </c>
      <c r="K4" s="4"/>
      <c r="L4" s="4" t="s">
        <v>1</v>
      </c>
    </row>
    <row r="5" ht="50" customHeight="1" spans="1:12">
      <c r="A5" s="7" t="s">
        <v>4</v>
      </c>
      <c r="K5" s="4"/>
      <c r="L5" s="4" t="s">
        <v>1</v>
      </c>
    </row>
    <row r="6" ht="19" customHeight="1" spans="1:12">
      <c r="A6" s="8" t="s">
        <v>5</v>
      </c>
      <c r="D6" s="9" t="s">
        <v>1</v>
      </c>
      <c r="E6" s="9" t="s">
        <v>1</v>
      </c>
      <c r="F6" s="9" t="s">
        <v>1</v>
      </c>
      <c r="G6" s="9" t="s">
        <v>1</v>
      </c>
      <c r="H6" s="9" t="s">
        <v>1</v>
      </c>
      <c r="I6" s="10" t="s">
        <v>6</v>
      </c>
      <c r="J6" s="11" t="s">
        <v>7</v>
      </c>
      <c r="K6" s="4"/>
      <c r="L6" s="4" t="s">
        <v>1</v>
      </c>
    </row>
    <row r="7" ht="19" customHeight="1" spans="1:12">
      <c r="A7" s="12" t="s">
        <v>8</v>
      </c>
      <c r="D7" s="13" t="s">
        <v>1</v>
      </c>
      <c r="E7" s="14" t="s">
        <v>1</v>
      </c>
      <c r="F7" s="14" t="s">
        <v>1</v>
      </c>
      <c r="G7" s="13" t="s">
        <v>1</v>
      </c>
      <c r="H7" s="13" t="s">
        <v>1</v>
      </c>
      <c r="I7" s="10" t="s">
        <v>9</v>
      </c>
      <c r="J7" s="11" t="s">
        <v>10</v>
      </c>
      <c r="K7" s="4"/>
      <c r="L7" s="4" t="s">
        <v>1</v>
      </c>
    </row>
    <row r="8" ht="18" customHeight="1" spans="1:12">
      <c r="A8" s="12" t="s">
        <v>1</v>
      </c>
      <c r="B8" s="12" t="s">
        <v>1</v>
      </c>
      <c r="C8" s="4" t="s">
        <v>1</v>
      </c>
      <c r="D8" s="4" t="s">
        <v>1</v>
      </c>
      <c r="E8" s="15" t="s">
        <v>1</v>
      </c>
      <c r="F8" s="15" t="s">
        <v>1</v>
      </c>
      <c r="G8" s="4" t="s">
        <v>1</v>
      </c>
      <c r="H8" s="4" t="s">
        <v>1</v>
      </c>
      <c r="I8" s="16" t="s">
        <v>1</v>
      </c>
      <c r="J8" s="16" t="s">
        <v>1</v>
      </c>
      <c r="K8" s="4"/>
      <c r="L8" s="4" t="s">
        <v>1</v>
      </c>
    </row>
    <row r="9" spans="1:12">
      <c r="A9" s="17" t="s">
        <v>11</v>
      </c>
      <c r="B9" s="17" t="s">
        <v>12</v>
      </c>
      <c r="C9" s="17" t="s">
        <v>13</v>
      </c>
      <c r="D9" s="18" t="s">
        <v>14</v>
      </c>
      <c r="E9" s="18" t="s">
        <v>15</v>
      </c>
      <c r="F9" s="18" t="s">
        <v>16</v>
      </c>
      <c r="G9" s="18" t="s">
        <v>17</v>
      </c>
      <c r="H9" s="18" t="s">
        <v>18</v>
      </c>
      <c r="I9" s="18" t="s">
        <v>19</v>
      </c>
      <c r="J9" s="19" t="s">
        <v>20</v>
      </c>
      <c r="K9" s="20"/>
      <c r="L9" s="20" t="s">
        <v>1</v>
      </c>
    </row>
    <row r="10" ht="18" customHeight="1" spans="1:12">
      <c r="A10" s="21">
        <v>1</v>
      </c>
      <c r="B10" s="21" t="s">
        <v>21</v>
      </c>
      <c r="C10" s="21" t="s">
        <v>22</v>
      </c>
      <c r="D10" s="22">
        <v>23</v>
      </c>
      <c r="E10" s="23">
        <v>1.43</v>
      </c>
      <c r="F10" s="24">
        <f t="shared" ref="F10:F21" si="0">E10*G10</f>
        <v>1487.2</v>
      </c>
      <c r="G10" s="23">
        <v>1040</v>
      </c>
      <c r="H10" s="22" t="s">
        <v>23</v>
      </c>
      <c r="I10" s="23"/>
      <c r="J10" s="23"/>
    </row>
    <row r="11" ht="18" customHeight="1" spans="1:12">
      <c r="A11" s="21">
        <v>2</v>
      </c>
      <c r="B11" s="21" t="s">
        <v>24</v>
      </c>
      <c r="C11" s="21" t="s">
        <v>22</v>
      </c>
      <c r="D11" s="22">
        <v>29</v>
      </c>
      <c r="E11" s="23">
        <v>1.43</v>
      </c>
      <c r="F11" s="24">
        <f t="shared" si="0"/>
        <v>1605.604</v>
      </c>
      <c r="G11" s="23">
        <v>1122.8</v>
      </c>
      <c r="H11" s="22" t="s">
        <v>23</v>
      </c>
      <c r="I11" s="23"/>
      <c r="J11" s="23"/>
    </row>
    <row r="12" ht="18" customHeight="1" spans="1:12">
      <c r="A12" s="21">
        <v>3</v>
      </c>
      <c r="B12" s="21" t="s">
        <v>25</v>
      </c>
      <c r="C12" s="21" t="s">
        <v>22</v>
      </c>
      <c r="D12" s="22">
        <v>34</v>
      </c>
      <c r="E12" s="23">
        <v>1.43</v>
      </c>
      <c r="F12" s="24">
        <f t="shared" si="0"/>
        <v>2132.13</v>
      </c>
      <c r="G12" s="23">
        <v>1491</v>
      </c>
      <c r="H12" s="22" t="s">
        <v>23</v>
      </c>
      <c r="I12" s="23"/>
      <c r="J12" s="23"/>
    </row>
    <row r="13" ht="18" customHeight="1" spans="1:12">
      <c r="A13" s="21">
        <v>4</v>
      </c>
      <c r="B13" s="21" t="s">
        <v>26</v>
      </c>
      <c r="C13" s="21" t="s">
        <v>22</v>
      </c>
      <c r="D13" s="22">
        <v>23</v>
      </c>
      <c r="E13" s="23">
        <v>1.43</v>
      </c>
      <c r="F13" s="24">
        <f t="shared" si="0"/>
        <v>1471.47</v>
      </c>
      <c r="G13" s="23">
        <v>1029</v>
      </c>
      <c r="H13" s="22" t="s">
        <v>23</v>
      </c>
      <c r="I13" s="23"/>
      <c r="J13" s="23"/>
    </row>
    <row r="14" ht="18" customHeight="1" spans="1:12">
      <c r="A14" s="21">
        <v>5</v>
      </c>
      <c r="B14" s="21" t="s">
        <v>27</v>
      </c>
      <c r="C14" s="21" t="s">
        <v>22</v>
      </c>
      <c r="D14" s="22">
        <v>34</v>
      </c>
      <c r="E14" s="23">
        <v>1.43</v>
      </c>
      <c r="F14" s="24">
        <f t="shared" si="0"/>
        <v>2170.74</v>
      </c>
      <c r="G14" s="23">
        <v>1518</v>
      </c>
      <c r="H14" s="22" t="s">
        <v>23</v>
      </c>
      <c r="I14" s="23"/>
      <c r="J14" s="23"/>
    </row>
    <row r="15" ht="18" customHeight="1" spans="1:12">
      <c r="A15" s="21">
        <v>6</v>
      </c>
      <c r="B15" s="21" t="s">
        <v>28</v>
      </c>
      <c r="C15" s="21" t="s">
        <v>22</v>
      </c>
      <c r="D15" s="22">
        <v>25</v>
      </c>
      <c r="E15" s="23">
        <v>1.43</v>
      </c>
      <c r="F15" s="24">
        <f t="shared" si="0"/>
        <v>1460.03</v>
      </c>
      <c r="G15" s="23">
        <v>1021</v>
      </c>
      <c r="H15" s="22" t="s">
        <v>23</v>
      </c>
      <c r="I15" s="23"/>
      <c r="J15" s="23"/>
    </row>
    <row r="16" ht="18" customHeight="1" spans="1:12">
      <c r="A16" s="21">
        <v>7</v>
      </c>
      <c r="B16" s="21" t="s">
        <v>29</v>
      </c>
      <c r="C16" s="21" t="s">
        <v>22</v>
      </c>
      <c r="D16" s="22">
        <v>13</v>
      </c>
      <c r="E16" s="23">
        <v>1.43</v>
      </c>
      <c r="F16" s="24">
        <f t="shared" si="0"/>
        <v>713.57</v>
      </c>
      <c r="G16" s="23">
        <v>499</v>
      </c>
      <c r="H16" s="22" t="s">
        <v>23</v>
      </c>
      <c r="I16" s="23"/>
      <c r="J16" s="23"/>
    </row>
    <row r="17" ht="18" customHeight="1" spans="1:12">
      <c r="A17" s="21">
        <v>8</v>
      </c>
      <c r="B17" s="21" t="s">
        <v>30</v>
      </c>
      <c r="C17" s="21" t="s">
        <v>22</v>
      </c>
      <c r="D17" s="22">
        <v>13</v>
      </c>
      <c r="E17" s="23">
        <v>1.43</v>
      </c>
      <c r="F17" s="24">
        <f t="shared" si="0"/>
        <v>743.028</v>
      </c>
      <c r="G17" s="23">
        <v>519.6</v>
      </c>
      <c r="H17" s="22" t="s">
        <v>23</v>
      </c>
      <c r="I17" s="23"/>
      <c r="J17" s="23"/>
    </row>
    <row r="18" ht="18" customHeight="1" spans="1:12">
      <c r="A18" s="21">
        <v>9</v>
      </c>
      <c r="B18" s="21" t="s">
        <v>31</v>
      </c>
      <c r="C18" s="21" t="s">
        <v>22</v>
      </c>
      <c r="D18" s="22">
        <v>16</v>
      </c>
      <c r="E18" s="23">
        <v>1.43</v>
      </c>
      <c r="F18" s="24">
        <f t="shared" si="0"/>
        <v>900.9</v>
      </c>
      <c r="G18" s="23">
        <v>630</v>
      </c>
      <c r="H18" s="22" t="s">
        <v>23</v>
      </c>
      <c r="I18" s="23"/>
      <c r="J18" s="23"/>
    </row>
    <row r="19" ht="18" customHeight="1" spans="1:12">
      <c r="A19" s="21">
        <v>10</v>
      </c>
      <c r="B19" s="21" t="s">
        <v>32</v>
      </c>
      <c r="C19" s="21" t="s">
        <v>22</v>
      </c>
      <c r="D19" s="22">
        <v>13</v>
      </c>
      <c r="E19" s="23">
        <v>1.43</v>
      </c>
      <c r="F19" s="24">
        <f t="shared" si="0"/>
        <v>747.89</v>
      </c>
      <c r="G19" s="23">
        <v>523</v>
      </c>
      <c r="H19" s="22" t="s">
        <v>23</v>
      </c>
      <c r="I19" s="23"/>
      <c r="J19" s="23"/>
    </row>
    <row r="20" ht="18" customHeight="1" spans="1:12">
      <c r="A20" s="21">
        <v>11</v>
      </c>
      <c r="B20" s="21" t="s">
        <v>33</v>
      </c>
      <c r="C20" s="21" t="s">
        <v>22</v>
      </c>
      <c r="D20" s="22">
        <v>24</v>
      </c>
      <c r="E20" s="23">
        <v>1.43</v>
      </c>
      <c r="F20" s="24">
        <f t="shared" si="0"/>
        <v>1408.979</v>
      </c>
      <c r="G20" s="23">
        <v>985.3</v>
      </c>
      <c r="H20" s="22" t="s">
        <v>23</v>
      </c>
      <c r="I20" s="23"/>
      <c r="J20" s="23"/>
    </row>
    <row r="21" ht="18" customHeight="1" spans="1:12">
      <c r="A21" s="21">
        <v>12</v>
      </c>
      <c r="B21" s="21" t="s">
        <v>34</v>
      </c>
      <c r="C21" s="21" t="s">
        <v>22</v>
      </c>
      <c r="D21" s="22">
        <v>23</v>
      </c>
      <c r="E21" s="23">
        <v>1.43</v>
      </c>
      <c r="F21" s="24">
        <f t="shared" si="0"/>
        <v>1472.9</v>
      </c>
      <c r="G21" s="23">
        <v>1030</v>
      </c>
      <c r="H21" s="22" t="s">
        <v>23</v>
      </c>
      <c r="I21" s="23"/>
      <c r="J21" s="23"/>
    </row>
    <row r="22" ht="25.5" spans="1:12">
      <c r="A22" s="25"/>
      <c r="B22" s="26" t="s">
        <v>35</v>
      </c>
      <c r="C22" s="25" t="s">
        <v>22</v>
      </c>
      <c r="D22" s="25">
        <f>SUM(D10:D21)</f>
        <v>270</v>
      </c>
      <c r="E22" s="27">
        <v>1.43</v>
      </c>
      <c r="F22" s="28">
        <f>SUM(F10:F21)</f>
        <v>16314.441</v>
      </c>
      <c r="G22" s="27">
        <f>SUM(G10:G21)</f>
        <v>11408.7</v>
      </c>
      <c r="H22" s="25" t="s">
        <v>23</v>
      </c>
      <c r="I22" s="27">
        <v>16.1</v>
      </c>
      <c r="J22" s="27">
        <v>183680.07</v>
      </c>
    </row>
    <row r="23" ht="18" customHeight="1" spans="1:12">
      <c r="A23" s="21">
        <v>13</v>
      </c>
      <c r="B23" s="21" t="s">
        <v>36</v>
      </c>
      <c r="C23" s="21" t="s">
        <v>37</v>
      </c>
      <c r="D23" s="22">
        <v>21</v>
      </c>
      <c r="E23" s="23">
        <v>1.42</v>
      </c>
      <c r="F23" s="24">
        <f>E23*G23</f>
        <v>985.48</v>
      </c>
      <c r="G23" s="23">
        <v>694</v>
      </c>
      <c r="H23" s="22" t="s">
        <v>23</v>
      </c>
      <c r="I23" s="23"/>
      <c r="J23" s="23"/>
    </row>
    <row r="24" ht="18" customHeight="1" spans="1:12">
      <c r="A24" s="21">
        <v>14</v>
      </c>
      <c r="B24" s="21" t="s">
        <v>38</v>
      </c>
      <c r="C24" s="21" t="s">
        <v>37</v>
      </c>
      <c r="D24" s="22">
        <v>15</v>
      </c>
      <c r="E24" s="23">
        <v>1.42</v>
      </c>
      <c r="F24" s="24">
        <f>E24*G24</f>
        <v>711.42</v>
      </c>
      <c r="G24" s="23">
        <v>501</v>
      </c>
      <c r="H24" s="22" t="s">
        <v>23</v>
      </c>
      <c r="I24" s="23"/>
      <c r="J24" s="23"/>
    </row>
    <row r="25" ht="18" customHeight="1" spans="1:12">
      <c r="A25" s="21">
        <v>15</v>
      </c>
      <c r="B25" s="21" t="s">
        <v>39</v>
      </c>
      <c r="C25" s="21" t="s">
        <v>37</v>
      </c>
      <c r="D25" s="22">
        <v>16</v>
      </c>
      <c r="E25" s="23">
        <v>1.42</v>
      </c>
      <c r="F25" s="24">
        <f>E25*G25</f>
        <v>769.64</v>
      </c>
      <c r="G25" s="23">
        <v>542</v>
      </c>
      <c r="H25" s="22" t="s">
        <v>23</v>
      </c>
      <c r="I25" s="23"/>
      <c r="J25" s="23"/>
    </row>
    <row r="26" ht="18" customHeight="1" spans="1:12">
      <c r="A26" s="21">
        <v>16</v>
      </c>
      <c r="B26" s="21" t="s">
        <v>40</v>
      </c>
      <c r="C26" s="21" t="s">
        <v>37</v>
      </c>
      <c r="D26" s="22">
        <v>19</v>
      </c>
      <c r="E26" s="23">
        <v>1.42</v>
      </c>
      <c r="F26" s="24">
        <f>E26*G26</f>
        <v>896.02</v>
      </c>
      <c r="G26" s="23">
        <v>631</v>
      </c>
      <c r="H26" s="22" t="s">
        <v>23</v>
      </c>
      <c r="I26" s="23"/>
      <c r="J26" s="23"/>
    </row>
    <row r="27" ht="25.5" spans="1:12">
      <c r="A27" s="25"/>
      <c r="B27" s="26" t="s">
        <v>41</v>
      </c>
      <c r="C27" s="25" t="s">
        <v>37</v>
      </c>
      <c r="D27" s="25">
        <f>SUM(D23:D26)</f>
        <v>71</v>
      </c>
      <c r="E27" s="27">
        <v>1.42</v>
      </c>
      <c r="F27" s="28">
        <f>SUM(F23:F26)</f>
        <v>3362.56</v>
      </c>
      <c r="G27" s="27">
        <f>SUM(G23:G26)</f>
        <v>2368</v>
      </c>
      <c r="H27" s="25" t="s">
        <v>23</v>
      </c>
      <c r="I27" s="27">
        <v>44.1</v>
      </c>
      <c r="J27" s="27">
        <v>104428.8</v>
      </c>
    </row>
    <row r="28" ht="18" customHeight="1" spans="1:12">
      <c r="A28" s="21">
        <v>17</v>
      </c>
      <c r="B28" s="21" t="s">
        <v>42</v>
      </c>
      <c r="C28" s="21" t="s">
        <v>37</v>
      </c>
      <c r="D28" s="22">
        <v>38</v>
      </c>
      <c r="E28" s="23">
        <v>1.42</v>
      </c>
      <c r="F28" s="24">
        <f>E28*G28</f>
        <v>1847.42</v>
      </c>
      <c r="G28" s="23">
        <v>1301</v>
      </c>
      <c r="H28" s="22" t="s">
        <v>23</v>
      </c>
      <c r="I28" s="23"/>
      <c r="J28" s="23"/>
    </row>
    <row r="29" ht="26.25" spans="1:12">
      <c r="A29" s="25"/>
      <c r="B29" s="26" t="s">
        <v>41</v>
      </c>
      <c r="C29" s="25" t="s">
        <v>37</v>
      </c>
      <c r="D29" s="25">
        <f>SUM(D28:D28)</f>
        <v>38</v>
      </c>
      <c r="E29" s="27">
        <v>1.42</v>
      </c>
      <c r="F29" s="28">
        <f>SUM(F28:F28)</f>
        <v>1847.42</v>
      </c>
      <c r="G29" s="27">
        <f>SUM(G28:G28)</f>
        <v>1301</v>
      </c>
      <c r="H29" s="25" t="s">
        <v>23</v>
      </c>
      <c r="I29" s="27">
        <v>45.4</v>
      </c>
      <c r="J29" s="27">
        <v>59065.4</v>
      </c>
    </row>
    <row r="30" ht="30" customHeight="1" spans="1:12">
      <c r="A30" s="29" t="s">
        <v>1</v>
      </c>
      <c r="B30" s="30" t="s">
        <v>43</v>
      </c>
      <c r="C30" s="31" t="s">
        <v>1</v>
      </c>
      <c r="D30" s="30">
        <f>D22+D27+D29</f>
        <v>379</v>
      </c>
      <c r="E30" s="32" t="s">
        <v>1</v>
      </c>
      <c r="F30" s="33">
        <f>F22+F27+F29</f>
        <v>21524.421</v>
      </c>
      <c r="G30" s="32">
        <f>G22+G27+G29</f>
        <v>15077.7</v>
      </c>
      <c r="H30" s="30" t="s">
        <v>1</v>
      </c>
      <c r="I30" s="32" t="s">
        <v>1</v>
      </c>
      <c r="J30" s="34">
        <f>SUM(J10:J29)</f>
        <v>347174.27</v>
      </c>
      <c r="K30" s="4"/>
      <c r="L30" s="4" t="s">
        <v>1</v>
      </c>
    </row>
    <row r="31" ht="15.75" spans="1:12">
      <c r="A31" s="35" t="s">
        <v>1</v>
      </c>
      <c r="B31" s="15" t="s">
        <v>1</v>
      </c>
      <c r="C31" s="15" t="s">
        <v>1</v>
      </c>
      <c r="D31" s="16" t="s">
        <v>1</v>
      </c>
      <c r="E31" s="15" t="s">
        <v>1</v>
      </c>
      <c r="F31" s="4" t="s">
        <v>1</v>
      </c>
      <c r="G31" s="16" t="s">
        <v>1</v>
      </c>
      <c r="H31" s="4" t="s">
        <v>1</v>
      </c>
      <c r="I31" s="15" t="s">
        <v>1</v>
      </c>
      <c r="J31" s="15" t="s">
        <v>1</v>
      </c>
      <c r="K31" s="4"/>
      <c r="L31" s="4" t="s">
        <v>1</v>
      </c>
    </row>
    <row r="32" ht="15.75" customHeight="1" spans="1:12">
      <c r="A32" s="35" t="s">
        <v>1</v>
      </c>
      <c r="B32" s="15" t="s">
        <v>1</v>
      </c>
      <c r="C32" s="15" t="s">
        <v>1</v>
      </c>
      <c r="D32" s="16" t="s">
        <v>1</v>
      </c>
      <c r="E32" s="15" t="s">
        <v>1</v>
      </c>
      <c r="F32" s="4" t="s">
        <v>1</v>
      </c>
      <c r="G32" s="4" t="s">
        <v>1</v>
      </c>
      <c r="H32" s="36" t="s">
        <v>0</v>
      </c>
      <c r="K32" s="4"/>
      <c r="L32" s="4" t="s">
        <v>1</v>
      </c>
    </row>
    <row r="33" ht="15.75" customHeight="1" spans="1:12">
      <c r="A33" s="35" t="s">
        <v>1</v>
      </c>
      <c r="B33" s="15" t="s">
        <v>1</v>
      </c>
      <c r="C33" s="15" t="s">
        <v>1</v>
      </c>
      <c r="D33" s="16" t="s">
        <v>1</v>
      </c>
      <c r="E33" s="15" t="s">
        <v>1</v>
      </c>
      <c r="F33" s="4" t="s">
        <v>1</v>
      </c>
      <c r="G33" s="37" t="s">
        <v>2</v>
      </c>
      <c r="K33" s="4"/>
      <c r="L33" s="4" t="s">
        <v>1</v>
      </c>
    </row>
    <row r="34" ht="18.75" customHeight="1"/>
    <row r="35" ht="21.75" customHeight="1"/>
  </sheetData>
  <mergeCells count="8">
    <mergeCell ref="A1:J1"/>
    <mergeCell ref="A2:J2"/>
    <mergeCell ref="A4:J4"/>
    <mergeCell ref="A5:J5"/>
    <mergeCell ref="A6:C6"/>
    <mergeCell ref="A7:C7"/>
    <mergeCell ref="H32:J32"/>
    <mergeCell ref="G33:J33"/>
  </mergeCells>
  <printOptions horizontalCentered="1"/>
  <pageMargins left="0.000694444444444444" right="0.000694444444444444" top="0.5" bottom="0.5" header="1.5" footer="1.5"/>
  <pageSetup paperSize="9" scale="88" orientation="portrait"/>
  <headerFooter/>
  <ignoredErrors>
    <ignoredError sqref="C10:C30" numberStoredAsText="1"/>
    <ignoredError sqref="F22:F3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竺华韵</cp:lastModifiedBy>
  <dcterms:created xsi:type="dcterms:W3CDTF">2026-05-06T09:30:00Z</dcterms:created>
  <dcterms:modified xsi:type="dcterms:W3CDTF">2026-08-19T06:06:54Z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DF03FB2C5DAC481BBB6BE2792745C448_12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