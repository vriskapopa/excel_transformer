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共享文件夹\本周箱单\26-626清关RMB\26-626-1清关RMB\"/>
    </mc:Choice>
  </mc:AlternateContent>
  <bookViews>
    <workbookView windowWidth="240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<sst xmlns="http://schemas.openxmlformats.org/spreadsheetml/2006/main" count="59" uniqueCount="28">
  <si>
    <t>杭 州 中 纺 进 出 口 有 限 公 司</t>
  </si>
  <si>
    <t>HANGZHOU ZHONGFANG TEXTILE IMP./EXP. CO., LTD.</t>
  </si>
  <si>
    <t/>
  </si>
  <si>
    <t>PACKING LIST</t>
  </si>
  <si>
    <t>Buyer:“SM REGIONTEKSTIL'” LLC
143421, Moscow region, Krasnogorsk city, ter. Baltiya road, km 21, h. 2, str. 1, room 1
OGRN 1175024014472    TIN 5032281280    KPP 502401001</t>
  </si>
  <si>
    <t>EX-WORK HANGZHOU</t>
  </si>
  <si>
    <t>INV.NO.</t>
  </si>
  <si>
    <t>ZFRMB26148-626-1</t>
  </si>
  <si>
    <t>Contract No SM-LU2 dd 23/11/2018</t>
  </si>
  <si>
    <t>DATE:</t>
  </si>
  <si>
    <t>Aug.19,2026</t>
  </si>
  <si>
    <t>No.</t>
  </si>
  <si>
    <t>DESIGN</t>
  </si>
  <si>
    <t>G/M</t>
  </si>
  <si>
    <t>ROLLS</t>
  </si>
  <si>
    <t>TOTAL METERS</t>
  </si>
  <si>
    <t>NET WEIGHT/KG</t>
  </si>
  <si>
    <t>GROSS WEIGHT/KG</t>
  </si>
  <si>
    <t>Total M2</t>
  </si>
  <si>
    <t>SOFA FABRIC
Melange</t>
  </si>
  <si>
    <t>SOFA FABRIC
Noble</t>
  </si>
  <si>
    <t>SOFA FABRIC
Omega</t>
  </si>
  <si>
    <t>SOFA FABRIC
Solo</t>
  </si>
  <si>
    <t>SOFA FABRIC
Danco</t>
  </si>
  <si>
    <t>SOFA FABRIC
Oscar</t>
  </si>
  <si>
    <t>SOFA FABRIC
Umbra</t>
  </si>
  <si>
    <t>SOFA FABRIC
Lambre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</si>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</sst>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33">
    <font>
      <sz val="11"/>
      <color theme="1"/>
      <name val="宋体"/>
      <charset val="134"/>
    </font>
    <font>
      <b/>
      <sz val="22"/>
      <color rgb="FF000000"/>
      <name val="宋体"/>
      <charset val="134"/>
    </font>
    <font>
      <sz val="16"/>
      <color rgb="FF000000"/>
      <name val="Times New Roman"/>
      <charset val="134"/>
    </font>
    <font>
      <sz val="12"/>
      <color rgb="FF000000"/>
      <name val="Times New Roman"/>
      <charset val="134"/>
    </font>
    <font>
      <b/>
      <u/>
      <sz val="26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sz val="22"/>
      <color rgb="FF000000"/>
      <name val="Times New Roman"/>
      <charset val="134"/>
    </font>
    <font>
      <b/>
      <sz val="10"/>
      <color rgb="FF333333"/>
      <name val="Times New Roman"/>
      <charset val="134"/>
    </font>
    <font>
      <b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sz val="10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??"/>
      <charset val="134"/>
      <scheme val="minor"/>
    </font>
    <font>
      <u/>
      <sz val="11"/>
      <color rgb="FF0000FF"/>
      <name val="??"/>
      <charset val="0"/>
      <scheme val="minor"/>
    </font>
    <font>
      <u/>
      <sz val="11"/>
      <color rgb="FF800080"/>
      <name val="??"/>
      <charset val="0"/>
      <scheme val="minor"/>
    </font>
    <font>
      <sz val="11"/>
      <color rgb="FFFF0000"/>
      <name val="??"/>
      <charset val="0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0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FFFFFF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rgb="FF9C6500"/>
      <name val="??"/>
      <charset val="0"/>
      <scheme val="minor"/>
    </font>
    <font>
      <sz val="11"/>
      <color theme="0"/>
      <name val="??"/>
      <charset val="0"/>
      <scheme val="minor"/>
    </font>
    <font>
      <sz val="11"/>
      <color theme="1"/>
      <name val="??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>
      <alignment vertical="center"/>
    </xf>
    <xf numFmtId="44" fontId="13" fillId="0" borderId="0">
      <alignment vertical="center"/>
    </xf>
    <xf numFmtId="9" fontId="13" fillId="0" borderId="0">
      <alignment vertical="center"/>
    </xf>
    <xf numFmtId="41" fontId="13" fillId="0" borderId="0">
      <alignment vertical="center"/>
    </xf>
    <xf numFmtId="42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3" fillId="3" borderId="7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8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1" fillId="0" borderId="0">
      <alignment vertical="center"/>
    </xf>
    <xf numFmtId="0" fontId="22" fillId="4" borderId="10">
      <alignment vertical="center"/>
    </xf>
    <xf numFmtId="0" fontId="23" fillId="5" borderId="11">
      <alignment vertical="center"/>
    </xf>
    <xf numFmtId="0" fontId="24" fillId="5" borderId="10">
      <alignment vertical="center"/>
    </xf>
    <xf numFmtId="0" fontId="25" fillId="6" borderId="12">
      <alignment vertical="center"/>
    </xf>
    <xf numFmtId="0" fontId="26" fillId="0" borderId="13">
      <alignment vertical="center"/>
    </xf>
    <xf numFmtId="0" fontId="27" fillId="0" borderId="14">
      <alignment vertical="center"/>
    </xf>
    <xf numFmtId="0" fontId="28" fillId="7" borderId="0">
      <alignment vertical="center"/>
    </xf>
    <xf numFmtId="0" fontId="29" fillId="8" borderId="0">
      <alignment vertical="center"/>
    </xf>
    <xf numFmtId="0" fontId="30" fillId="9" borderId="0">
      <alignment vertical="center"/>
    </xf>
    <xf numFmtId="0" fontId="31" fillId="10" borderId="0">
      <alignment vertical="center"/>
    </xf>
    <xf numFmtId="0" fontId="32" fillId="11" borderId="0">
      <alignment vertical="center"/>
    </xf>
    <xf numFmtId="0" fontId="32" fillId="12" borderId="0">
      <alignment vertical="center"/>
    </xf>
    <xf numFmtId="0" fontId="31" fillId="13" borderId="0">
      <alignment vertical="center"/>
    </xf>
    <xf numFmtId="0" fontId="31" fillId="14" borderId="0">
      <alignment vertical="center"/>
    </xf>
    <xf numFmtId="0" fontId="32" fillId="15" borderId="0">
      <alignment vertical="center"/>
    </xf>
    <xf numFmtId="0" fontId="32" fillId="16" borderId="0">
      <alignment vertical="center"/>
    </xf>
    <xf numFmtId="0" fontId="31" fillId="17" borderId="0">
      <alignment vertical="center"/>
    </xf>
    <xf numFmtId="0" fontId="31" fillId="18" borderId="0">
      <alignment vertical="center"/>
    </xf>
    <xf numFmtId="0" fontId="32" fillId="19" borderId="0">
      <alignment vertical="center"/>
    </xf>
    <xf numFmtId="0" fontId="32" fillId="20" borderId="0">
      <alignment vertical="center"/>
    </xf>
    <xf numFmtId="0" fontId="31" fillId="21" borderId="0">
      <alignment vertical="center"/>
    </xf>
    <xf numFmtId="0" fontId="31" fillId="22" borderId="0">
      <alignment vertical="center"/>
    </xf>
    <xf numFmtId="0" fontId="32" fillId="23" borderId="0">
      <alignment vertical="center"/>
    </xf>
    <xf numFmtId="0" fontId="32" fillId="24" borderId="0">
      <alignment vertical="center"/>
    </xf>
    <xf numFmtId="0" fontId="31" fillId="25" borderId="0">
      <alignment vertical="center"/>
    </xf>
    <xf numFmtId="0" fontId="31" fillId="26" borderId="0">
      <alignment vertical="center"/>
    </xf>
    <xf numFmtId="0" fontId="32" fillId="27" borderId="0">
      <alignment vertical="center"/>
    </xf>
    <xf numFmtId="0" fontId="32" fillId="28" borderId="0">
      <alignment vertical="center"/>
    </xf>
    <xf numFmtId="0" fontId="31" fillId="29" borderId="0">
      <alignment vertical="center"/>
    </xf>
    <xf numFmtId="0" fontId="31" fillId="30" borderId="0">
      <alignment vertical="center"/>
    </xf>
    <xf numFmtId="0" fontId="32" fillId="31" borderId="0">
      <alignment vertical="center"/>
    </xf>
    <xf numFmtId="0" fontId="32" fillId="32" borderId="0">
      <alignment vertical="center"/>
    </xf>
    <xf numFmtId="0" fontId="31" fillId="33" borderId="0">
      <alignment vertical="center"/>
    </xf>
    <xf numFmtId="0" fontId="0" fillId="0" borderId="0"/>
  </cellStyleXfs>
  <cellXfs count="31">
    <xf numFmtId="0" fontId="0" fillId="0" borderId="0" xfId="49"/>
    <xf numFmtId="0" fontId="0" fillId="0" borderId="0" xfId="49" applyAlignment="1"/>
    <xf numFmtId="0" fontId="0" fillId="0" borderId="0" xfId="0" applyAlignment="1"/>
    <xf numFmtId="0" fontId="1" fillId="0" borderId="0" xfId="49" applyFont="1" applyAlignment="1">
      <alignment horizontal="center"/>
    </xf>
    <xf numFmtId="0" fontId="2" fillId="0" borderId="0" xfId="49" applyFont="1" applyAlignment="1">
      <alignment horizontal="center"/>
    </xf>
    <xf numFmtId="0" fontId="3" fillId="0" borderId="0" xfId="49" applyFont="1" applyAlignment="1">
      <alignment horizontal="center"/>
    </xf>
    <xf numFmtId="0" fontId="4" fillId="0" borderId="0" xfId="49" applyFont="1" applyAlignment="1">
      <alignment horizontal="center"/>
    </xf>
    <xf numFmtId="0" fontId="5" fillId="0" borderId="0" xfId="49" applyFont="1" applyAlignment="1">
      <alignment horizontal="left" vertical="top" wrapText="1"/>
    </xf>
    <xf numFmtId="0" fontId="6" fillId="0" borderId="0" xfId="49" applyFont="1" applyAlignment="1">
      <alignment horizontal="left" vertical="center"/>
    </xf>
    <xf numFmtId="0" fontId="7" fillId="0" borderId="0" xfId="49" applyFont="1" applyAlignment="1">
      <alignment horizontal="center"/>
    </xf>
    <xf numFmtId="0" fontId="3" fillId="0" borderId="1" xfId="49" applyFont="1" applyBorder="1" applyAlignment="1">
      <alignment horizontal="left"/>
    </xf>
    <xf numFmtId="0" fontId="5" fillId="0" borderId="1" xfId="49" applyFont="1" applyBorder="1" applyAlignment="1">
      <alignment horizontal="right"/>
    </xf>
    <xf numFmtId="0" fontId="6" fillId="0" borderId="0" xfId="49" applyFont="1" applyAlignment="1">
      <alignment horizontal="left" vertical="center" wrapText="1"/>
    </xf>
    <xf numFmtId="0" fontId="3" fillId="0" borderId="0" xfId="49" applyFont="1" applyAlignment="1">
      <alignment horizontal="right"/>
    </xf>
    <xf numFmtId="0" fontId="3" fillId="0" borderId="1" xfId="49" applyFont="1" applyBorder="1" applyAlignment="1">
      <alignment horizontal="right"/>
    </xf>
    <xf numFmtId="0" fontId="6" fillId="0" borderId="0" xfId="49" applyFont="1" applyAlignment="1">
      <alignment vertical="center" wrapText="1"/>
    </xf>
    <xf numFmtId="0" fontId="3" fillId="0" borderId="0" xfId="49" applyFont="1"/>
    <xf numFmtId="0" fontId="8" fillId="0" borderId="2" xfId="49" applyFont="1" applyBorder="1" applyAlignment="1">
      <alignment horizontal="center" vertical="center"/>
    </xf>
    <xf numFmtId="0" fontId="9" fillId="0" borderId="2" xfId="49" applyFont="1" applyBorder="1" applyAlignment="1">
      <alignment horizontal="center" vertical="center"/>
    </xf>
    <xf numFmtId="0" fontId="9" fillId="0" borderId="3" xfId="49" applyFont="1" applyBorder="1" applyAlignment="1">
      <alignment horizontal="center" vertical="center"/>
    </xf>
    <xf numFmtId="0" fontId="10" fillId="0" borderId="2" xfId="49" applyFont="1" applyBorder="1" applyAlignment="1">
      <alignment horizontal="center"/>
    </xf>
    <xf numFmtId="0" fontId="10" fillId="0" borderId="2" xfId="49" applyFont="1" applyBorder="1" applyAlignment="1">
      <alignment horizontal="center" wrapText="1"/>
    </xf>
    <xf numFmtId="176" fontId="10" fillId="0" borderId="2" xfId="49" applyNumberFormat="1" applyFont="1" applyBorder="1" applyAlignment="1">
      <alignment horizontal="center"/>
    </xf>
    <xf numFmtId="177" fontId="10" fillId="0" borderId="3" xfId="49" applyNumberFormat="1" applyFont="1" applyBorder="1" applyAlignment="1">
      <alignment horizontal="center"/>
    </xf>
    <xf numFmtId="0" fontId="9" fillId="2" borderId="4" xfId="49" applyFont="1" applyFill="1" applyBorder="1" applyAlignment="1">
      <alignment horizontal="center"/>
    </xf>
    <xf numFmtId="0" fontId="0" fillId="0" borderId="5" xfId="0" applyBorder="1" applyAlignment="1"/>
    <xf numFmtId="176" fontId="9" fillId="2" borderId="4" xfId="49" applyNumberFormat="1" applyFont="1" applyFill="1" applyBorder="1" applyAlignment="1">
      <alignment horizontal="center"/>
    </xf>
    <xf numFmtId="177" fontId="9" fillId="2" borderId="6" xfId="49" applyNumberFormat="1" applyFont="1" applyFill="1" applyBorder="1" applyAlignment="1">
      <alignment horizontal="center"/>
    </xf>
    <xf numFmtId="0" fontId="11" fillId="0" borderId="0" xfId="49" applyFont="1" applyAlignment="1">
      <alignment vertical="center"/>
    </xf>
    <xf numFmtId="0" fontId="12" fillId="0" borderId="0" xfId="49" applyFont="1"/>
    <xf numFmtId="0" fontId="12" fillId="0" borderId="0" xfId="49" applyFont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1"/>
  <sheetViews>
    <sheetView tabSelected="1" workbookViewId="0">
      <selection activeCell="G18" sqref="G18"/>
    </sheetView>
  </sheetViews>
  <sheetFormatPr defaultColWidth="9" defaultRowHeight="13.5" outlineLevelCol="7"/>
  <cols>
    <col min="1" max="1" width="4.25" style="2" customWidth="1"/>
    <col min="2" max="2" width="20.25" style="2" customWidth="1"/>
    <col min="3" max="3" width="5.5" style="2" customWidth="1"/>
    <col min="4" max="4" width="6.75" style="2" customWidth="1"/>
    <col min="5" max="5" width="13.75" style="2" customWidth="1"/>
    <col min="6" max="6" width="14.125" style="2" customWidth="1"/>
    <col min="7" max="7" width="17" style="2" customWidth="1"/>
    <col min="8" max="8" width="17.5" style="2" customWidth="1"/>
  </cols>
  <sheetData>
    <row r="1" ht="27" spans="1:8">
      <c r="A1" s="3" t="s">
        <v>0</v>
      </c>
    </row>
    <row r="2" ht="20.25" spans="1:8">
      <c r="A2" s="4" t="s">
        <v>1</v>
      </c>
    </row>
    <row r="3" ht="12" customHeight="1" spans="1:8">
      <c r="A3" s="5" t="s">
        <v>2</v>
      </c>
    </row>
    <row r="4" ht="30" customHeight="1" spans="1:8">
      <c r="A4" s="6" t="s">
        <v>3</v>
      </c>
    </row>
    <row r="5" ht="50" customHeight="1" spans="1:8">
      <c r="A5" s="7" t="s">
        <v>4</v>
      </c>
    </row>
    <row r="6" ht="20" customHeight="1" spans="1:8">
      <c r="A6" s="8" t="s">
        <v>5</v>
      </c>
      <c r="F6" s="9" t="s">
        <v>2</v>
      </c>
      <c r="G6" s="10" t="s">
        <v>6</v>
      </c>
      <c r="H6" s="11" t="s">
        <v>7</v>
      </c>
    </row>
    <row r="7" ht="20" customHeight="1" spans="1:8">
      <c r="A7" s="12" t="s">
        <v>8</v>
      </c>
      <c r="F7" s="13" t="s">
        <v>2</v>
      </c>
      <c r="G7" s="10" t="s">
        <v>9</v>
      </c>
      <c r="H7" s="14" t="s">
        <v>10</v>
      </c>
    </row>
    <row r="8" ht="13" customHeight="1" spans="1:8">
      <c r="A8" s="12" t="s">
        <v>2</v>
      </c>
      <c r="B8" s="12" t="s">
        <v>2</v>
      </c>
      <c r="C8" s="15" t="s">
        <v>2</v>
      </c>
      <c r="D8" s="16" t="s">
        <v>2</v>
      </c>
      <c r="E8" s="13" t="s">
        <v>2</v>
      </c>
      <c r="F8" s="13" t="s">
        <v>2</v>
      </c>
      <c r="G8" s="13" t="s">
        <v>2</v>
      </c>
      <c r="H8" s="13" t="s">
        <v>2</v>
      </c>
    </row>
    <row r="9" spans="1:8">
      <c r="A9" s="17" t="s">
        <v>11</v>
      </c>
      <c r="B9" s="18" t="s">
        <v>12</v>
      </c>
      <c r="C9" s="18" t="s">
        <v>13</v>
      </c>
      <c r="D9" s="18" t="s">
        <v>14</v>
      </c>
      <c r="E9" s="18" t="s">
        <v>15</v>
      </c>
      <c r="F9" s="18" t="s">
        <v>16</v>
      </c>
      <c r="G9" s="18" t="s">
        <v>17</v>
      </c>
      <c r="H9" s="19" t="s">
        <v>18</v>
      </c>
    </row>
    <row r="10" s="1" customFormat="1" ht="25.5" spans="1:8">
      <c r="A10" s="20">
        <v>1</v>
      </c>
      <c r="B10" s="21" t="s">
        <v>19</v>
      </c>
      <c r="C10" s="20">
        <v>690</v>
      </c>
      <c r="D10" s="20">
        <v>8</v>
      </c>
      <c r="E10" s="22">
        <v>302.9</v>
      </c>
      <c r="F10" s="22">
        <v>209</v>
      </c>
      <c r="G10" s="22">
        <v>219</v>
      </c>
      <c r="H10" s="23">
        <v>427.089</v>
      </c>
    </row>
    <row r="11" s="1" customFormat="1" ht="25.5" spans="1:8">
      <c r="A11" s="20">
        <v>2</v>
      </c>
      <c r="B11" s="21" t="s">
        <v>20</v>
      </c>
      <c r="C11" s="20">
        <v>950</v>
      </c>
      <c r="D11" s="20">
        <v>27</v>
      </c>
      <c r="E11" s="22">
        <v>1118.5</v>
      </c>
      <c r="F11" s="22">
        <v>1062.58</v>
      </c>
      <c r="G11" s="22">
        <v>1092</v>
      </c>
      <c r="H11" s="23">
        <v>1588.27</v>
      </c>
    </row>
    <row r="12" s="1" customFormat="1" ht="25.5" spans="1:8">
      <c r="A12" s="20">
        <v>3</v>
      </c>
      <c r="B12" s="21" t="s">
        <v>21</v>
      </c>
      <c r="C12" s="20">
        <v>420</v>
      </c>
      <c r="D12" s="20">
        <v>116</v>
      </c>
      <c r="E12" s="22">
        <v>5342.9</v>
      </c>
      <c r="F12" s="22">
        <v>2244.02</v>
      </c>
      <c r="G12" s="22">
        <v>2360</v>
      </c>
      <c r="H12" s="23">
        <v>7693.776</v>
      </c>
    </row>
    <row r="13" s="1" customFormat="1" ht="25.5" spans="1:8">
      <c r="A13" s="20">
        <v>4</v>
      </c>
      <c r="B13" s="21" t="s">
        <v>22</v>
      </c>
      <c r="C13" s="20">
        <v>330</v>
      </c>
      <c r="D13" s="20">
        <v>13</v>
      </c>
      <c r="E13" s="22">
        <v>647</v>
      </c>
      <c r="F13" s="22">
        <v>213.51</v>
      </c>
      <c r="G13" s="22">
        <v>228</v>
      </c>
      <c r="H13" s="23">
        <v>957.56</v>
      </c>
    </row>
    <row r="14" s="1" customFormat="1" ht="25.5" spans="1:8">
      <c r="A14" s="20">
        <v>5</v>
      </c>
      <c r="B14" s="21" t="s">
        <v>23</v>
      </c>
      <c r="C14" s="20">
        <v>440</v>
      </c>
      <c r="D14" s="20">
        <v>37</v>
      </c>
      <c r="E14" s="22">
        <v>1804.2</v>
      </c>
      <c r="F14" s="22">
        <v>793.85</v>
      </c>
      <c r="G14" s="22">
        <v>831</v>
      </c>
      <c r="H14" s="23">
        <v>2561.964</v>
      </c>
    </row>
    <row r="15" s="1" customFormat="1" ht="25.5" spans="1:8">
      <c r="A15" s="20">
        <v>6</v>
      </c>
      <c r="B15" s="21" t="s">
        <v>24</v>
      </c>
      <c r="C15" s="20">
        <v>640</v>
      </c>
      <c r="D15" s="20">
        <v>7</v>
      </c>
      <c r="E15" s="22">
        <v>308.8</v>
      </c>
      <c r="F15" s="22">
        <v>197.63</v>
      </c>
      <c r="G15" s="22">
        <v>205</v>
      </c>
      <c r="H15" s="23">
        <v>441.584</v>
      </c>
    </row>
    <row r="16" s="1" customFormat="1" ht="25.5" spans="1:8">
      <c r="A16" s="20">
        <v>7</v>
      </c>
      <c r="B16" s="21" t="s">
        <v>25</v>
      </c>
      <c r="C16" s="20">
        <v>480</v>
      </c>
      <c r="D16" s="20">
        <v>28</v>
      </c>
      <c r="E16" s="22">
        <v>1001.6</v>
      </c>
      <c r="F16" s="22">
        <v>480.77</v>
      </c>
      <c r="G16" s="22">
        <v>510</v>
      </c>
      <c r="H16" s="23">
        <v>1422.272</v>
      </c>
    </row>
    <row r="17" s="1" customFormat="1" ht="25.5" spans="1:8">
      <c r="A17" s="20">
        <v>8</v>
      </c>
      <c r="B17" s="21" t="s">
        <v>26</v>
      </c>
      <c r="C17" s="20">
        <v>720</v>
      </c>
      <c r="D17" s="20">
        <v>27</v>
      </c>
      <c r="E17" s="22">
        <v>1145.7</v>
      </c>
      <c r="F17" s="22">
        <v>824.9</v>
      </c>
      <c r="G17" s="22">
        <v>855</v>
      </c>
      <c r="H17" s="23">
        <v>1626.894</v>
      </c>
    </row>
    <row r="18" ht="24.75" customHeight="1" spans="1:8">
      <c r="A18" s="24" t="s">
        <v>27</v>
      </c>
      <c r="B18" s="25"/>
      <c r="C18" s="24" t="s">
        <v>2</v>
      </c>
      <c r="D18" s="24">
        <f>SUM(D10:D17)</f>
        <v>263</v>
      </c>
      <c r="E18" s="26">
        <f>SUM(E10:E17)</f>
        <v>11671.6</v>
      </c>
      <c r="F18" s="26">
        <f>SUM(F10:F17)</f>
        <v>6026.26</v>
      </c>
      <c r="G18" s="26">
        <f>SUM(G10:G17)</f>
        <v>6300</v>
      </c>
      <c r="H18" s="27">
        <f>SUM(H10:H17)</f>
        <v>16719.409</v>
      </c>
    </row>
    <row r="19" ht="14.25" spans="1:8">
      <c r="A19" s="28" t="s">
        <v>2</v>
      </c>
      <c r="B19" s="28" t="s">
        <v>2</v>
      </c>
      <c r="C19" s="28" t="s">
        <v>2</v>
      </c>
      <c r="D19" s="28" t="s">
        <v>2</v>
      </c>
      <c r="E19" s="28" t="s">
        <v>2</v>
      </c>
      <c r="F19" s="29" t="s">
        <v>2</v>
      </c>
      <c r="G19" s="28" t="s">
        <v>2</v>
      </c>
      <c r="H19" s="28" t="s">
        <v>2</v>
      </c>
    </row>
    <row r="20" ht="15.75" spans="1:8">
      <c r="A20" s="28" t="s">
        <v>2</v>
      </c>
      <c r="B20" s="28" t="s">
        <v>2</v>
      </c>
      <c r="C20" s="28" t="s">
        <v>2</v>
      </c>
      <c r="D20" s="28" t="s">
        <v>2</v>
      </c>
      <c r="E20" s="28" t="s">
        <v>2</v>
      </c>
      <c r="F20" s="16" t="s">
        <v>2</v>
      </c>
      <c r="G20" s="30" t="s">
        <v>0</v>
      </c>
    </row>
    <row r="21" ht="15.75" spans="1:8">
      <c r="A21" s="28" t="s">
        <v>2</v>
      </c>
      <c r="B21" s="28" t="s">
        <v>2</v>
      </c>
      <c r="C21" s="28" t="s">
        <v>2</v>
      </c>
      <c r="D21" s="28" t="s">
        <v>2</v>
      </c>
      <c r="E21" s="13" t="s">
        <v>1</v>
      </c>
    </row>
  </sheetData>
  <mergeCells count="10">
    <mergeCell ref="A1:H1"/>
    <mergeCell ref="A2:H2"/>
    <mergeCell ref="A3:H3"/>
    <mergeCell ref="A4:H4"/>
    <mergeCell ref="A5:H5"/>
    <mergeCell ref="A6:E6"/>
    <mergeCell ref="A7:E7"/>
    <mergeCell ref="A18:B18"/>
    <mergeCell ref="G20:H20"/>
    <mergeCell ref="E21:H21"/>
  </mergeCells>
  <printOptions horizontalCentered="1"/>
  <pageMargins left="0.313888888888889" right="0.000694444444444444" top="0.5" bottom="0.5" header="3" footer="2"/>
  <pageSetup paperSize="9" scale="8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竺华韵</cp:lastModifiedBy>
  <dcterms:created xsi:type="dcterms:W3CDTF">2026-05-06T09:30:00Z</dcterms:created>
  <dcterms:modified xsi:type="dcterms:W3CDTF">2026-08-19T05:57:41Z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EEAB28A8138645929A1E694D2F84AFAD_13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